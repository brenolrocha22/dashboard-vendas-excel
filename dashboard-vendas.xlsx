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90" yWindow="540" windowWidth="19815" windowHeight="9915"/>
  </bookViews>
  <sheets>
    <sheet name="Dashboard" sheetId="1" r:id="rId1"/>
    <sheet name="Base" sheetId="2" r:id="rId2"/>
    <sheet name="Cálculos" sheetId="3" r:id="rId3"/>
  </sheets>
  <definedNames>
    <definedName name="kpi_fat">Cálculos!$F$5</definedName>
    <definedName name="kpi_fat_ant">Cálculos!$F$8</definedName>
    <definedName name="kpi_qtd">Cálculos!$F$6</definedName>
    <definedName name="kpi_ticket">Cálculos!$F$7</definedName>
    <definedName name="kpi_var">Cálculos!$F$9</definedName>
    <definedName name="lista_anos">Cálculos!$A$5:$A$13</definedName>
    <definedName name="lista_marcas">Cálculos!$C$5:$C$12</definedName>
    <definedName name="lista_paises">Cálculos!$B$5:$B$11</definedName>
    <definedName name="marca_lider">Cálculos!$N$5</definedName>
    <definedName name="modelo_lider">Cálculos!$O$27</definedName>
    <definedName name="pais_lider">Cálculos!$N$16</definedName>
    <definedName name="sel_ano">Dashboard!$C$5</definedName>
    <definedName name="sel_marca">Dashboard!$I$5</definedName>
    <definedName name="sel_pais">Dashboard!$F$5</definedName>
  </definedNames>
  <calcPr calcId="125725"/>
</workbook>
</file>

<file path=xl/calcChain.xml><?xml version="1.0" encoding="utf-8"?>
<calcChain xmlns="http://schemas.openxmlformats.org/spreadsheetml/2006/main">
  <c r="M986" i="2"/>
  <c r="L986"/>
  <c r="D986"/>
  <c r="C986"/>
  <c r="K986" s="1"/>
  <c r="M985"/>
  <c r="D985"/>
  <c r="C985"/>
  <c r="K985" s="1"/>
  <c r="M984"/>
  <c r="D984"/>
  <c r="C984"/>
  <c r="K984" s="1"/>
  <c r="M983"/>
  <c r="D983"/>
  <c r="C983"/>
  <c r="K983" s="1"/>
  <c r="M982"/>
  <c r="D982"/>
  <c r="C982"/>
  <c r="K982" s="1"/>
  <c r="M981"/>
  <c r="D981"/>
  <c r="C981"/>
  <c r="K981" s="1"/>
  <c r="M980"/>
  <c r="D980"/>
  <c r="C980"/>
  <c r="K980" s="1"/>
  <c r="M979"/>
  <c r="D979"/>
  <c r="C979"/>
  <c r="K979" s="1"/>
  <c r="M978"/>
  <c r="D978"/>
  <c r="C978"/>
  <c r="K978" s="1"/>
  <c r="M977"/>
  <c r="D977"/>
  <c r="C977"/>
  <c r="K977" s="1"/>
  <c r="M976"/>
  <c r="D976"/>
  <c r="C976"/>
  <c r="K976" s="1"/>
  <c r="M975"/>
  <c r="D975"/>
  <c r="C975"/>
  <c r="K975" s="1"/>
  <c r="M974"/>
  <c r="D974"/>
  <c r="C974"/>
  <c r="K974" s="1"/>
  <c r="M973"/>
  <c r="D973"/>
  <c r="C973"/>
  <c r="K973" s="1"/>
  <c r="M972"/>
  <c r="D972"/>
  <c r="C972"/>
  <c r="K972" s="1"/>
  <c r="M971"/>
  <c r="D971"/>
  <c r="C971"/>
  <c r="K971" s="1"/>
  <c r="M970"/>
  <c r="D970"/>
  <c r="C970"/>
  <c r="K970" s="1"/>
  <c r="M969"/>
  <c r="D969"/>
  <c r="C969"/>
  <c r="K969" s="1"/>
  <c r="M968"/>
  <c r="D968"/>
  <c r="C968"/>
  <c r="K968" s="1"/>
  <c r="M967"/>
  <c r="D967"/>
  <c r="C967"/>
  <c r="K967" s="1"/>
  <c r="M966"/>
  <c r="D966"/>
  <c r="C966"/>
  <c r="K966" s="1"/>
  <c r="M965"/>
  <c r="D965"/>
  <c r="C965"/>
  <c r="K965" s="1"/>
  <c r="M964"/>
  <c r="D964"/>
  <c r="C964"/>
  <c r="K964" s="1"/>
  <c r="M963"/>
  <c r="D963"/>
  <c r="C963"/>
  <c r="K963" s="1"/>
  <c r="M962"/>
  <c r="D962"/>
  <c r="C962"/>
  <c r="K962" s="1"/>
  <c r="M961"/>
  <c r="D961"/>
  <c r="C961"/>
  <c r="K961" s="1"/>
  <c r="M960"/>
  <c r="D960"/>
  <c r="C960"/>
  <c r="K960" s="1"/>
  <c r="M959"/>
  <c r="D959"/>
  <c r="C959"/>
  <c r="K959" s="1"/>
  <c r="M958"/>
  <c r="D958"/>
  <c r="C958"/>
  <c r="K958" s="1"/>
  <c r="M957"/>
  <c r="K957"/>
  <c r="D957"/>
  <c r="C957"/>
  <c r="L957" s="1"/>
  <c r="M956"/>
  <c r="L956"/>
  <c r="D956"/>
  <c r="C956"/>
  <c r="K956" s="1"/>
  <c r="M955"/>
  <c r="L955"/>
  <c r="D955"/>
  <c r="C955"/>
  <c r="K955" s="1"/>
  <c r="M954"/>
  <c r="L954"/>
  <c r="D954"/>
  <c r="C954"/>
  <c r="K954" s="1"/>
  <c r="M953"/>
  <c r="L953"/>
  <c r="D953"/>
  <c r="C953"/>
  <c r="K953" s="1"/>
  <c r="M952"/>
  <c r="L952"/>
  <c r="D952"/>
  <c r="C952"/>
  <c r="K952" s="1"/>
  <c r="M951"/>
  <c r="L951"/>
  <c r="D951"/>
  <c r="C951"/>
  <c r="K951" s="1"/>
  <c r="M950"/>
  <c r="L950"/>
  <c r="D950"/>
  <c r="C950"/>
  <c r="K950" s="1"/>
  <c r="M949"/>
  <c r="D949"/>
  <c r="C949"/>
  <c r="K949" s="1"/>
  <c r="M948"/>
  <c r="D948"/>
  <c r="C948"/>
  <c r="K948" s="1"/>
  <c r="M947"/>
  <c r="D947"/>
  <c r="C947"/>
  <c r="K947" s="1"/>
  <c r="M946"/>
  <c r="D946"/>
  <c r="C946"/>
  <c r="K946" s="1"/>
  <c r="M945"/>
  <c r="D945"/>
  <c r="C945"/>
  <c r="K945" s="1"/>
  <c r="M944"/>
  <c r="D944"/>
  <c r="C944"/>
  <c r="K944" s="1"/>
  <c r="M943"/>
  <c r="D943"/>
  <c r="C943"/>
  <c r="K943" s="1"/>
  <c r="M942"/>
  <c r="D942"/>
  <c r="C942"/>
  <c r="K942" s="1"/>
  <c r="M941"/>
  <c r="D941"/>
  <c r="C941"/>
  <c r="K941" s="1"/>
  <c r="M940"/>
  <c r="D940"/>
  <c r="C940"/>
  <c r="K940" s="1"/>
  <c r="M939"/>
  <c r="D939"/>
  <c r="C939"/>
  <c r="K939" s="1"/>
  <c r="M938"/>
  <c r="D938"/>
  <c r="C938"/>
  <c r="K938" s="1"/>
  <c r="M937"/>
  <c r="D937"/>
  <c r="C937"/>
  <c r="K937" s="1"/>
  <c r="M936"/>
  <c r="D936"/>
  <c r="C936"/>
  <c r="K936" s="1"/>
  <c r="M935"/>
  <c r="D935"/>
  <c r="C935"/>
  <c r="K935" s="1"/>
  <c r="M934"/>
  <c r="D934"/>
  <c r="C934"/>
  <c r="K934" s="1"/>
  <c r="M933"/>
  <c r="L933"/>
  <c r="D933"/>
  <c r="C933"/>
  <c r="K933" s="1"/>
  <c r="M932"/>
  <c r="L932"/>
  <c r="D932"/>
  <c r="C932"/>
  <c r="K932" s="1"/>
  <c r="M931"/>
  <c r="L931"/>
  <c r="D931"/>
  <c r="C931"/>
  <c r="K931" s="1"/>
  <c r="M930"/>
  <c r="L930"/>
  <c r="D930"/>
  <c r="C930"/>
  <c r="K930" s="1"/>
  <c r="M929"/>
  <c r="L929"/>
  <c r="D929"/>
  <c r="C929"/>
  <c r="K929" s="1"/>
  <c r="M928"/>
  <c r="L928"/>
  <c r="D928"/>
  <c r="C928"/>
  <c r="K928" s="1"/>
  <c r="M927"/>
  <c r="L927"/>
  <c r="D927"/>
  <c r="C927"/>
  <c r="K927" s="1"/>
  <c r="M926"/>
  <c r="L926"/>
  <c r="D926"/>
  <c r="C926"/>
  <c r="K926" s="1"/>
  <c r="M925"/>
  <c r="L925"/>
  <c r="D925"/>
  <c r="C925"/>
  <c r="K925" s="1"/>
  <c r="M924"/>
  <c r="D924"/>
  <c r="C924"/>
  <c r="K924" s="1"/>
  <c r="M923"/>
  <c r="D923"/>
  <c r="C923"/>
  <c r="K923" s="1"/>
  <c r="M922"/>
  <c r="D922"/>
  <c r="C922"/>
  <c r="K922" s="1"/>
  <c r="M921"/>
  <c r="D921"/>
  <c r="C921"/>
  <c r="K921" s="1"/>
  <c r="M920"/>
  <c r="D920"/>
  <c r="C920"/>
  <c r="K920" s="1"/>
  <c r="M919"/>
  <c r="D919"/>
  <c r="C919"/>
  <c r="K919" s="1"/>
  <c r="M918"/>
  <c r="D918"/>
  <c r="C918"/>
  <c r="K918" s="1"/>
  <c r="M917"/>
  <c r="D917"/>
  <c r="C917"/>
  <c r="K917" s="1"/>
  <c r="M916"/>
  <c r="D916"/>
  <c r="C916"/>
  <c r="K916" s="1"/>
  <c r="M915"/>
  <c r="D915"/>
  <c r="C915"/>
  <c r="K915" s="1"/>
  <c r="M914"/>
  <c r="D914"/>
  <c r="C914"/>
  <c r="K914" s="1"/>
  <c r="M913"/>
  <c r="D913"/>
  <c r="C913"/>
  <c r="K913" s="1"/>
  <c r="M912"/>
  <c r="D912"/>
  <c r="C912"/>
  <c r="K912" s="1"/>
  <c r="M911"/>
  <c r="D911"/>
  <c r="C911"/>
  <c r="K911" s="1"/>
  <c r="M910"/>
  <c r="D910"/>
  <c r="C910"/>
  <c r="K910" s="1"/>
  <c r="M909"/>
  <c r="D909"/>
  <c r="C909"/>
  <c r="K909" s="1"/>
  <c r="M908"/>
  <c r="D908"/>
  <c r="C908"/>
  <c r="K908" s="1"/>
  <c r="M907"/>
  <c r="D907"/>
  <c r="C907"/>
  <c r="K907" s="1"/>
  <c r="M906"/>
  <c r="D906"/>
  <c r="C906"/>
  <c r="K906" s="1"/>
  <c r="M905"/>
  <c r="D905"/>
  <c r="C905"/>
  <c r="K905" s="1"/>
  <c r="M904"/>
  <c r="D904"/>
  <c r="C904"/>
  <c r="K904" s="1"/>
  <c r="M903"/>
  <c r="D903"/>
  <c r="C903"/>
  <c r="K903" s="1"/>
  <c r="M902"/>
  <c r="D902"/>
  <c r="C902"/>
  <c r="K902" s="1"/>
  <c r="M901"/>
  <c r="D901"/>
  <c r="C901"/>
  <c r="L901" s="1"/>
  <c r="M900"/>
  <c r="D900"/>
  <c r="C900"/>
  <c r="K900" s="1"/>
  <c r="M899"/>
  <c r="D899"/>
  <c r="C899"/>
  <c r="K899" s="1"/>
  <c r="M898"/>
  <c r="D898"/>
  <c r="C898"/>
  <c r="K898" s="1"/>
  <c r="M897"/>
  <c r="D897"/>
  <c r="C897"/>
  <c r="K897" s="1"/>
  <c r="M896"/>
  <c r="D896"/>
  <c r="C896"/>
  <c r="K896" s="1"/>
  <c r="M895"/>
  <c r="D895"/>
  <c r="C895"/>
  <c r="K895" s="1"/>
  <c r="M894"/>
  <c r="D894"/>
  <c r="C894"/>
  <c r="K894" s="1"/>
  <c r="M893"/>
  <c r="D893"/>
  <c r="C893"/>
  <c r="K893" s="1"/>
  <c r="M892"/>
  <c r="D892"/>
  <c r="C892"/>
  <c r="K892" s="1"/>
  <c r="M891"/>
  <c r="D891"/>
  <c r="C891"/>
  <c r="K891" s="1"/>
  <c r="M890"/>
  <c r="D890"/>
  <c r="C890"/>
  <c r="K890" s="1"/>
  <c r="M889"/>
  <c r="D889"/>
  <c r="C889"/>
  <c r="K889" s="1"/>
  <c r="M888"/>
  <c r="D888"/>
  <c r="C888"/>
  <c r="K888" s="1"/>
  <c r="M887"/>
  <c r="D887"/>
  <c r="C887"/>
  <c r="K887" s="1"/>
  <c r="M886"/>
  <c r="D886"/>
  <c r="C886"/>
  <c r="K886" s="1"/>
  <c r="M885"/>
  <c r="D885"/>
  <c r="C885"/>
  <c r="K885" s="1"/>
  <c r="M884"/>
  <c r="D884"/>
  <c r="C884"/>
  <c r="K884" s="1"/>
  <c r="M883"/>
  <c r="D883"/>
  <c r="C883"/>
  <c r="K883" s="1"/>
  <c r="M882"/>
  <c r="D882"/>
  <c r="C882"/>
  <c r="K882" s="1"/>
  <c r="M881"/>
  <c r="D881"/>
  <c r="C881"/>
  <c r="K881" s="1"/>
  <c r="M880"/>
  <c r="D880"/>
  <c r="C880"/>
  <c r="K880" s="1"/>
  <c r="M879"/>
  <c r="D879"/>
  <c r="C879"/>
  <c r="K879" s="1"/>
  <c r="M878"/>
  <c r="D878"/>
  <c r="C878"/>
  <c r="L878" s="1"/>
  <c r="M877"/>
  <c r="K877"/>
  <c r="D877"/>
  <c r="C877"/>
  <c r="L877" s="1"/>
  <c r="M876"/>
  <c r="L876"/>
  <c r="D876"/>
  <c r="C876"/>
  <c r="K876" s="1"/>
  <c r="M875"/>
  <c r="L875"/>
  <c r="D875"/>
  <c r="C875"/>
  <c r="K875" s="1"/>
  <c r="M874"/>
  <c r="L874"/>
  <c r="D874"/>
  <c r="C874"/>
  <c r="K874" s="1"/>
  <c r="M873"/>
  <c r="L873"/>
  <c r="D873"/>
  <c r="C873"/>
  <c r="K873" s="1"/>
  <c r="M872"/>
  <c r="L872"/>
  <c r="D872"/>
  <c r="C872"/>
  <c r="K872" s="1"/>
  <c r="M871"/>
  <c r="L871"/>
  <c r="D871"/>
  <c r="C871"/>
  <c r="K871" s="1"/>
  <c r="M870"/>
  <c r="D870"/>
  <c r="C870"/>
  <c r="K870" s="1"/>
  <c r="M869"/>
  <c r="D869"/>
  <c r="C869"/>
  <c r="L869" s="1"/>
  <c r="M868"/>
  <c r="D868"/>
  <c r="C868"/>
  <c r="K868" s="1"/>
  <c r="M867"/>
  <c r="D867"/>
  <c r="C867"/>
  <c r="K867" s="1"/>
  <c r="M866"/>
  <c r="D866"/>
  <c r="C866"/>
  <c r="K866" s="1"/>
  <c r="M865"/>
  <c r="D865"/>
  <c r="C865"/>
  <c r="K865" s="1"/>
  <c r="M864"/>
  <c r="D864"/>
  <c r="C864"/>
  <c r="K864" s="1"/>
  <c r="M863"/>
  <c r="D863"/>
  <c r="C863"/>
  <c r="K863" s="1"/>
  <c r="M862"/>
  <c r="D862"/>
  <c r="C862"/>
  <c r="L862" s="1"/>
  <c r="M861"/>
  <c r="L861"/>
  <c r="D861"/>
  <c r="C861"/>
  <c r="K861" s="1"/>
  <c r="M860"/>
  <c r="D860"/>
  <c r="C860"/>
  <c r="K860" s="1"/>
  <c r="M859"/>
  <c r="D859"/>
  <c r="C859"/>
  <c r="K859" s="1"/>
  <c r="M858"/>
  <c r="D858"/>
  <c r="C858"/>
  <c r="K858" s="1"/>
  <c r="M857"/>
  <c r="D857"/>
  <c r="C857"/>
  <c r="K857" s="1"/>
  <c r="M856"/>
  <c r="D856"/>
  <c r="C856"/>
  <c r="K856" s="1"/>
  <c r="M855"/>
  <c r="D855"/>
  <c r="C855"/>
  <c r="K855" s="1"/>
  <c r="M854"/>
  <c r="D854"/>
  <c r="C854"/>
  <c r="K854" s="1"/>
  <c r="M853"/>
  <c r="K853"/>
  <c r="D853"/>
  <c r="C853"/>
  <c r="L853" s="1"/>
  <c r="M852"/>
  <c r="L852"/>
  <c r="D852"/>
  <c r="C852"/>
  <c r="K852" s="1"/>
  <c r="M851"/>
  <c r="L851"/>
  <c r="D851"/>
  <c r="C851"/>
  <c r="K851" s="1"/>
  <c r="M850"/>
  <c r="L850"/>
  <c r="D850"/>
  <c r="C850"/>
  <c r="K850" s="1"/>
  <c r="M849"/>
  <c r="L849"/>
  <c r="D849"/>
  <c r="C849"/>
  <c r="K849" s="1"/>
  <c r="M848"/>
  <c r="L848"/>
  <c r="D848"/>
  <c r="C848"/>
  <c r="K848" s="1"/>
  <c r="M847"/>
  <c r="L847"/>
  <c r="D847"/>
  <c r="C847"/>
  <c r="K847" s="1"/>
  <c r="M846"/>
  <c r="L846"/>
  <c r="D846"/>
  <c r="C846"/>
  <c r="K846" s="1"/>
  <c r="M845"/>
  <c r="D845"/>
  <c r="C845"/>
  <c r="K845" s="1"/>
  <c r="M844"/>
  <c r="D844"/>
  <c r="C844"/>
  <c r="K844" s="1"/>
  <c r="M843"/>
  <c r="D843"/>
  <c r="C843"/>
  <c r="K843" s="1"/>
  <c r="M842"/>
  <c r="D842"/>
  <c r="C842"/>
  <c r="K842" s="1"/>
  <c r="M841"/>
  <c r="D841"/>
  <c r="C841"/>
  <c r="K841" s="1"/>
  <c r="M840"/>
  <c r="D840"/>
  <c r="C840"/>
  <c r="K840" s="1"/>
  <c r="M839"/>
  <c r="D839"/>
  <c r="C839"/>
  <c r="K839" s="1"/>
  <c r="M838"/>
  <c r="D838"/>
  <c r="C838"/>
  <c r="K838" s="1"/>
  <c r="M837"/>
  <c r="D837"/>
  <c r="C837"/>
  <c r="L837" s="1"/>
  <c r="M836"/>
  <c r="D836"/>
  <c r="C836"/>
  <c r="K836" s="1"/>
  <c r="M835"/>
  <c r="D835"/>
  <c r="C835"/>
  <c r="K835" s="1"/>
  <c r="M834"/>
  <c r="D834"/>
  <c r="C834"/>
  <c r="K834" s="1"/>
  <c r="M833"/>
  <c r="D833"/>
  <c r="C833"/>
  <c r="K833" s="1"/>
  <c r="M832"/>
  <c r="D832"/>
  <c r="C832"/>
  <c r="K832" s="1"/>
  <c r="M831"/>
  <c r="D831"/>
  <c r="C831"/>
  <c r="K831" s="1"/>
  <c r="M830"/>
  <c r="D830"/>
  <c r="C830"/>
  <c r="L830" s="1"/>
  <c r="M829"/>
  <c r="L829"/>
  <c r="D829"/>
  <c r="C829"/>
  <c r="K829" s="1"/>
  <c r="M828"/>
  <c r="D828"/>
  <c r="C828"/>
  <c r="K828" s="1"/>
  <c r="M827"/>
  <c r="D827"/>
  <c r="C827"/>
  <c r="K827" s="1"/>
  <c r="M826"/>
  <c r="D826"/>
  <c r="C826"/>
  <c r="K826" s="1"/>
  <c r="M825"/>
  <c r="D825"/>
  <c r="C825"/>
  <c r="K825" s="1"/>
  <c r="M824"/>
  <c r="D824"/>
  <c r="C824"/>
  <c r="K824" s="1"/>
  <c r="M823"/>
  <c r="D823"/>
  <c r="C823"/>
  <c r="K823" s="1"/>
  <c r="M822"/>
  <c r="D822"/>
  <c r="C822"/>
  <c r="K822" s="1"/>
  <c r="M821"/>
  <c r="D821"/>
  <c r="C821"/>
  <c r="L821" s="1"/>
  <c r="M820"/>
  <c r="L820"/>
  <c r="D820"/>
  <c r="C820"/>
  <c r="K820" s="1"/>
  <c r="M819"/>
  <c r="L819"/>
  <c r="D819"/>
  <c r="C819"/>
  <c r="K819" s="1"/>
  <c r="M818"/>
  <c r="L818"/>
  <c r="D818"/>
  <c r="C818"/>
  <c r="K818" s="1"/>
  <c r="M817"/>
  <c r="L817"/>
  <c r="D817"/>
  <c r="C817"/>
  <c r="K817" s="1"/>
  <c r="M816"/>
  <c r="L816"/>
  <c r="D816"/>
  <c r="C816"/>
  <c r="K816" s="1"/>
  <c r="M815"/>
  <c r="L815"/>
  <c r="D815"/>
  <c r="C815"/>
  <c r="K815" s="1"/>
  <c r="M814"/>
  <c r="L814"/>
  <c r="D814"/>
  <c r="C814"/>
  <c r="K814" s="1"/>
  <c r="M813"/>
  <c r="D813"/>
  <c r="C813"/>
  <c r="K813" s="1"/>
  <c r="M812"/>
  <c r="D812"/>
  <c r="C812"/>
  <c r="K812" s="1"/>
  <c r="M811"/>
  <c r="D811"/>
  <c r="C811"/>
  <c r="K811" s="1"/>
  <c r="M810"/>
  <c r="D810"/>
  <c r="C810"/>
  <c r="K810" s="1"/>
  <c r="M809"/>
  <c r="D809"/>
  <c r="C809"/>
  <c r="K809" s="1"/>
  <c r="M808"/>
  <c r="D808"/>
  <c r="C808"/>
  <c r="K808" s="1"/>
  <c r="M807"/>
  <c r="D807"/>
  <c r="C807"/>
  <c r="K807" s="1"/>
  <c r="M806"/>
  <c r="D806"/>
  <c r="C806"/>
  <c r="K806" s="1"/>
  <c r="M805"/>
  <c r="D805"/>
  <c r="C805"/>
  <c r="L805" s="1"/>
  <c r="M804"/>
  <c r="D804"/>
  <c r="C804"/>
  <c r="K804" s="1"/>
  <c r="M803"/>
  <c r="D803"/>
  <c r="C803"/>
  <c r="K803" s="1"/>
  <c r="M802"/>
  <c r="D802"/>
  <c r="C802"/>
  <c r="K802" s="1"/>
  <c r="M801"/>
  <c r="D801"/>
  <c r="C801"/>
  <c r="K801" s="1"/>
  <c r="M800"/>
  <c r="D800"/>
  <c r="C800"/>
  <c r="K800" s="1"/>
  <c r="M799"/>
  <c r="D799"/>
  <c r="C799"/>
  <c r="K799" s="1"/>
  <c r="M798"/>
  <c r="D798"/>
  <c r="C798"/>
  <c r="L798" s="1"/>
  <c r="M797"/>
  <c r="L797"/>
  <c r="D797"/>
  <c r="C797"/>
  <c r="K797" s="1"/>
  <c r="M796"/>
  <c r="D796"/>
  <c r="C796"/>
  <c r="K796" s="1"/>
  <c r="M795"/>
  <c r="D795"/>
  <c r="C795"/>
  <c r="K795" s="1"/>
  <c r="M794"/>
  <c r="D794"/>
  <c r="C794"/>
  <c r="K794" s="1"/>
  <c r="M793"/>
  <c r="D793"/>
  <c r="C793"/>
  <c r="K793" s="1"/>
  <c r="M792"/>
  <c r="D792"/>
  <c r="C792"/>
  <c r="K792" s="1"/>
  <c r="M791"/>
  <c r="D791"/>
  <c r="C791"/>
  <c r="K791" s="1"/>
  <c r="M790"/>
  <c r="D790"/>
  <c r="C790"/>
  <c r="L790" s="1"/>
  <c r="M789"/>
  <c r="D789"/>
  <c r="C789"/>
  <c r="K789" s="1"/>
  <c r="M788"/>
  <c r="D788"/>
  <c r="C788"/>
  <c r="K788" s="1"/>
  <c r="M787"/>
  <c r="D787"/>
  <c r="C787"/>
  <c r="K787" s="1"/>
  <c r="M786"/>
  <c r="D786"/>
  <c r="C786"/>
  <c r="K786" s="1"/>
  <c r="M785"/>
  <c r="D785"/>
  <c r="C785"/>
  <c r="K785" s="1"/>
  <c r="M784"/>
  <c r="D784"/>
  <c r="C784"/>
  <c r="K784" s="1"/>
  <c r="M783"/>
  <c r="D783"/>
  <c r="C783"/>
  <c r="K783" s="1"/>
  <c r="M782"/>
  <c r="D782"/>
  <c r="C782"/>
  <c r="K782" s="1"/>
  <c r="M781"/>
  <c r="D781"/>
  <c r="C781"/>
  <c r="K781" s="1"/>
  <c r="M780"/>
  <c r="D780"/>
  <c r="C780"/>
  <c r="K780" s="1"/>
  <c r="M779"/>
  <c r="D779"/>
  <c r="C779"/>
  <c r="K779" s="1"/>
  <c r="M778"/>
  <c r="D778"/>
  <c r="C778"/>
  <c r="K778" s="1"/>
  <c r="M777"/>
  <c r="D777"/>
  <c r="C777"/>
  <c r="K777" s="1"/>
  <c r="M776"/>
  <c r="D776"/>
  <c r="C776"/>
  <c r="K776" s="1"/>
  <c r="M775"/>
  <c r="D775"/>
  <c r="C775"/>
  <c r="K775" s="1"/>
  <c r="M774"/>
  <c r="K774"/>
  <c r="D774"/>
  <c r="C774"/>
  <c r="L774" s="1"/>
  <c r="M773"/>
  <c r="L773"/>
  <c r="D773"/>
  <c r="C773"/>
  <c r="K773" s="1"/>
  <c r="M772"/>
  <c r="L772"/>
  <c r="D772"/>
  <c r="C772"/>
  <c r="K772" s="1"/>
  <c r="M771"/>
  <c r="L771"/>
  <c r="D771"/>
  <c r="C771"/>
  <c r="K771" s="1"/>
  <c r="M770"/>
  <c r="L770"/>
  <c r="D770"/>
  <c r="C770"/>
  <c r="K770" s="1"/>
  <c r="M769"/>
  <c r="L769"/>
  <c r="D769"/>
  <c r="C769"/>
  <c r="K769" s="1"/>
  <c r="M768"/>
  <c r="L768"/>
  <c r="D768"/>
  <c r="C768"/>
  <c r="K768" s="1"/>
  <c r="M767"/>
  <c r="L767"/>
  <c r="D767"/>
  <c r="C767"/>
  <c r="K767" s="1"/>
  <c r="M766"/>
  <c r="L766"/>
  <c r="D766"/>
  <c r="C766"/>
  <c r="K766" s="1"/>
  <c r="M765"/>
  <c r="D765"/>
  <c r="C765"/>
  <c r="K765" s="1"/>
  <c r="M764"/>
  <c r="D764"/>
  <c r="C764"/>
  <c r="K764" s="1"/>
  <c r="M763"/>
  <c r="D763"/>
  <c r="C763"/>
  <c r="K763" s="1"/>
  <c r="M762"/>
  <c r="D762"/>
  <c r="C762"/>
  <c r="K762" s="1"/>
  <c r="M761"/>
  <c r="D761"/>
  <c r="C761"/>
  <c r="M760"/>
  <c r="D760"/>
  <c r="C760"/>
  <c r="M759"/>
  <c r="D759"/>
  <c r="C759"/>
  <c r="M758"/>
  <c r="D758"/>
  <c r="C758"/>
  <c r="L758" s="1"/>
  <c r="M757"/>
  <c r="D757"/>
  <c r="C757"/>
  <c r="K757" s="1"/>
  <c r="M756"/>
  <c r="D756"/>
  <c r="C756"/>
  <c r="K756" s="1"/>
  <c r="M755"/>
  <c r="D755"/>
  <c r="C755"/>
  <c r="K755" s="1"/>
  <c r="M754"/>
  <c r="D754"/>
  <c r="C754"/>
  <c r="K754" s="1"/>
  <c r="M753"/>
  <c r="D753"/>
  <c r="C753"/>
  <c r="K753" s="1"/>
  <c r="M752"/>
  <c r="D752"/>
  <c r="C752"/>
  <c r="K752" s="1"/>
  <c r="M751"/>
  <c r="D751"/>
  <c r="C751"/>
  <c r="K751" s="1"/>
  <c r="M750"/>
  <c r="D750"/>
  <c r="C750"/>
  <c r="K750" s="1"/>
  <c r="M749"/>
  <c r="D749"/>
  <c r="C749"/>
  <c r="K749" s="1"/>
  <c r="M748"/>
  <c r="D748"/>
  <c r="C748"/>
  <c r="K748" s="1"/>
  <c r="M747"/>
  <c r="D747"/>
  <c r="C747"/>
  <c r="K747" s="1"/>
  <c r="M746"/>
  <c r="D746"/>
  <c r="C746"/>
  <c r="K746" s="1"/>
  <c r="M745"/>
  <c r="D745"/>
  <c r="C745"/>
  <c r="M744"/>
  <c r="D744"/>
  <c r="C744"/>
  <c r="M743"/>
  <c r="D743"/>
  <c r="C743"/>
  <c r="M742"/>
  <c r="D742"/>
  <c r="C742"/>
  <c r="L742" s="1"/>
  <c r="M741"/>
  <c r="L741"/>
  <c r="D741"/>
  <c r="C741"/>
  <c r="K741" s="1"/>
  <c r="M740"/>
  <c r="L740"/>
  <c r="D740"/>
  <c r="C740"/>
  <c r="K740" s="1"/>
  <c r="M739"/>
  <c r="L739"/>
  <c r="D739"/>
  <c r="C739"/>
  <c r="K739" s="1"/>
  <c r="M738"/>
  <c r="L738"/>
  <c r="D738"/>
  <c r="C738"/>
  <c r="K738" s="1"/>
  <c r="M737"/>
  <c r="L737"/>
  <c r="K737"/>
  <c r="D737"/>
  <c r="C737"/>
  <c r="M736"/>
  <c r="L736"/>
  <c r="D736"/>
  <c r="C736"/>
  <c r="K736" s="1"/>
  <c r="M735"/>
  <c r="L735"/>
  <c r="D735"/>
  <c r="C735"/>
  <c r="K735" s="1"/>
  <c r="M734"/>
  <c r="L734"/>
  <c r="D734"/>
  <c r="C734"/>
  <c r="K734" s="1"/>
  <c r="M733"/>
  <c r="L733"/>
  <c r="D733"/>
  <c r="C733"/>
  <c r="K733" s="1"/>
  <c r="M732"/>
  <c r="L732"/>
  <c r="D732"/>
  <c r="C732"/>
  <c r="K732" s="1"/>
  <c r="M731"/>
  <c r="L731"/>
  <c r="D731"/>
  <c r="C731"/>
  <c r="K731" s="1"/>
  <c r="M730"/>
  <c r="L730"/>
  <c r="D730"/>
  <c r="C730"/>
  <c r="K730" s="1"/>
  <c r="M729"/>
  <c r="D729"/>
  <c r="C729"/>
  <c r="M728"/>
  <c r="D728"/>
  <c r="C728"/>
  <c r="M727"/>
  <c r="D727"/>
  <c r="C727"/>
  <c r="M726"/>
  <c r="D726"/>
  <c r="C726"/>
  <c r="M725"/>
  <c r="D725"/>
  <c r="C725"/>
  <c r="M724"/>
  <c r="D724"/>
  <c r="C724"/>
  <c r="M723"/>
  <c r="D723"/>
  <c r="C723"/>
  <c r="M722"/>
  <c r="D722"/>
  <c r="C722"/>
  <c r="L722" s="1"/>
  <c r="M721"/>
  <c r="D721"/>
  <c r="C721"/>
  <c r="K721" s="1"/>
  <c r="M720"/>
  <c r="D720"/>
  <c r="C720"/>
  <c r="K720" s="1"/>
  <c r="M719"/>
  <c r="D719"/>
  <c r="C719"/>
  <c r="K719" s="1"/>
  <c r="M718"/>
  <c r="D718"/>
  <c r="C718"/>
  <c r="K718" s="1"/>
  <c r="M717"/>
  <c r="D717"/>
  <c r="C717"/>
  <c r="K717" s="1"/>
  <c r="M716"/>
  <c r="D716"/>
  <c r="C716"/>
  <c r="K716" s="1"/>
  <c r="M715"/>
  <c r="D715"/>
  <c r="C715"/>
  <c r="K715" s="1"/>
  <c r="M714"/>
  <c r="D714"/>
  <c r="C714"/>
  <c r="K714" s="1"/>
  <c r="M713"/>
  <c r="D713"/>
  <c r="C713"/>
  <c r="M712"/>
  <c r="D712"/>
  <c r="C712"/>
  <c r="M711"/>
  <c r="D711"/>
  <c r="C711"/>
  <c r="M710"/>
  <c r="D710"/>
  <c r="C710"/>
  <c r="M709"/>
  <c r="D709"/>
  <c r="C709"/>
  <c r="M708"/>
  <c r="D708"/>
  <c r="C708"/>
  <c r="M707"/>
  <c r="D707"/>
  <c r="C707"/>
  <c r="M706"/>
  <c r="K706"/>
  <c r="D706"/>
  <c r="C706"/>
  <c r="L706" s="1"/>
  <c r="M705"/>
  <c r="L705"/>
  <c r="D705"/>
  <c r="C705"/>
  <c r="K705" s="1"/>
  <c r="M704"/>
  <c r="L704"/>
  <c r="D704"/>
  <c r="C704"/>
  <c r="K704" s="1"/>
  <c r="M703"/>
  <c r="L703"/>
  <c r="D703"/>
  <c r="C703"/>
  <c r="K703" s="1"/>
  <c r="M702"/>
  <c r="L702"/>
  <c r="D702"/>
  <c r="C702"/>
  <c r="K702" s="1"/>
  <c r="M701"/>
  <c r="L701"/>
  <c r="D701"/>
  <c r="C701"/>
  <c r="K701" s="1"/>
  <c r="M700"/>
  <c r="L700"/>
  <c r="D700"/>
  <c r="C700"/>
  <c r="K700" s="1"/>
  <c r="M699"/>
  <c r="L699"/>
  <c r="D699"/>
  <c r="C699"/>
  <c r="K699" s="1"/>
  <c r="M698"/>
  <c r="L698"/>
  <c r="D698"/>
  <c r="C698"/>
  <c r="K698" s="1"/>
  <c r="M697"/>
  <c r="D697"/>
  <c r="C697"/>
  <c r="M696"/>
  <c r="D696"/>
  <c r="C696"/>
  <c r="M695"/>
  <c r="D695"/>
  <c r="C695"/>
  <c r="M694"/>
  <c r="D694"/>
  <c r="C694"/>
  <c r="M693"/>
  <c r="D693"/>
  <c r="C693"/>
  <c r="M692"/>
  <c r="D692"/>
  <c r="C692"/>
  <c r="M691"/>
  <c r="D691"/>
  <c r="C691"/>
  <c r="M690"/>
  <c r="D690"/>
  <c r="C690"/>
  <c r="L690" s="1"/>
  <c r="M689"/>
  <c r="D689"/>
  <c r="C689"/>
  <c r="K689" s="1"/>
  <c r="M688"/>
  <c r="D688"/>
  <c r="C688"/>
  <c r="K688" s="1"/>
  <c r="M687"/>
  <c r="D687"/>
  <c r="C687"/>
  <c r="K687" s="1"/>
  <c r="M686"/>
  <c r="D686"/>
  <c r="C686"/>
  <c r="K686" s="1"/>
  <c r="M685"/>
  <c r="D685"/>
  <c r="C685"/>
  <c r="K685" s="1"/>
  <c r="M684"/>
  <c r="D684"/>
  <c r="C684"/>
  <c r="K684" s="1"/>
  <c r="M683"/>
  <c r="D683"/>
  <c r="C683"/>
  <c r="K683" s="1"/>
  <c r="M682"/>
  <c r="D682"/>
  <c r="C682"/>
  <c r="K682" s="1"/>
  <c r="M681"/>
  <c r="D681"/>
  <c r="C681"/>
  <c r="M680"/>
  <c r="D680"/>
  <c r="C680"/>
  <c r="M679"/>
  <c r="D679"/>
  <c r="C679"/>
  <c r="M678"/>
  <c r="D678"/>
  <c r="C678"/>
  <c r="M677"/>
  <c r="D677"/>
  <c r="C677"/>
  <c r="M676"/>
  <c r="D676"/>
  <c r="C676"/>
  <c r="M675"/>
  <c r="D675"/>
  <c r="C675"/>
  <c r="M674"/>
  <c r="D674"/>
  <c r="C674"/>
  <c r="L674" s="1"/>
  <c r="M673"/>
  <c r="L673"/>
  <c r="K673"/>
  <c r="D673"/>
  <c r="C673"/>
  <c r="M672"/>
  <c r="L672"/>
  <c r="D672"/>
  <c r="C672"/>
  <c r="K672" s="1"/>
  <c r="M671"/>
  <c r="L671"/>
  <c r="D671"/>
  <c r="C671"/>
  <c r="K671" s="1"/>
  <c r="M670"/>
  <c r="L670"/>
  <c r="D670"/>
  <c r="C670"/>
  <c r="K670" s="1"/>
  <c r="M669"/>
  <c r="L669"/>
  <c r="D669"/>
  <c r="C669"/>
  <c r="K669" s="1"/>
  <c r="M668"/>
  <c r="L668"/>
  <c r="D668"/>
  <c r="C668"/>
  <c r="K668" s="1"/>
  <c r="M667"/>
  <c r="L667"/>
  <c r="D667"/>
  <c r="C667"/>
  <c r="K667" s="1"/>
  <c r="M666"/>
  <c r="L666"/>
  <c r="D666"/>
  <c r="C666"/>
  <c r="K666" s="1"/>
  <c r="M665"/>
  <c r="D665"/>
  <c r="C665"/>
  <c r="M664"/>
  <c r="D664"/>
  <c r="C664"/>
  <c r="M663"/>
  <c r="D663"/>
  <c r="C663"/>
  <c r="M662"/>
  <c r="D662"/>
  <c r="C662"/>
  <c r="M661"/>
  <c r="D661"/>
  <c r="C661"/>
  <c r="M660"/>
  <c r="D660"/>
  <c r="C660"/>
  <c r="M659"/>
  <c r="D659"/>
  <c r="C659"/>
  <c r="M658"/>
  <c r="D658"/>
  <c r="C658"/>
  <c r="L658" s="1"/>
  <c r="M657"/>
  <c r="D657"/>
  <c r="C657"/>
  <c r="K657" s="1"/>
  <c r="M656"/>
  <c r="D656"/>
  <c r="C656"/>
  <c r="K656" s="1"/>
  <c r="M655"/>
  <c r="D655"/>
  <c r="C655"/>
  <c r="K655" s="1"/>
  <c r="M654"/>
  <c r="D654"/>
  <c r="C654"/>
  <c r="K654" s="1"/>
  <c r="M653"/>
  <c r="D653"/>
  <c r="C653"/>
  <c r="K653" s="1"/>
  <c r="M652"/>
  <c r="D652"/>
  <c r="C652"/>
  <c r="K652" s="1"/>
  <c r="M651"/>
  <c r="D651"/>
  <c r="C651"/>
  <c r="K651" s="1"/>
  <c r="M650"/>
  <c r="D650"/>
  <c r="C650"/>
  <c r="K650" s="1"/>
  <c r="M649"/>
  <c r="D649"/>
  <c r="C649"/>
  <c r="M648"/>
  <c r="D648"/>
  <c r="C648"/>
  <c r="M647"/>
  <c r="D647"/>
  <c r="C647"/>
  <c r="M646"/>
  <c r="D646"/>
  <c r="C646"/>
  <c r="M645"/>
  <c r="D645"/>
  <c r="C645"/>
  <c r="M644"/>
  <c r="D644"/>
  <c r="C644"/>
  <c r="M643"/>
  <c r="D643"/>
  <c r="C643"/>
  <c r="M642"/>
  <c r="D642"/>
  <c r="C642"/>
  <c r="L642" s="1"/>
  <c r="M641"/>
  <c r="L641"/>
  <c r="D641"/>
  <c r="C641"/>
  <c r="K641" s="1"/>
  <c r="M640"/>
  <c r="L640"/>
  <c r="D640"/>
  <c r="C640"/>
  <c r="K640" s="1"/>
  <c r="M639"/>
  <c r="L639"/>
  <c r="D639"/>
  <c r="C639"/>
  <c r="K639" s="1"/>
  <c r="M638"/>
  <c r="L638"/>
  <c r="D638"/>
  <c r="C638"/>
  <c r="K638" s="1"/>
  <c r="M637"/>
  <c r="L637"/>
  <c r="D637"/>
  <c r="C637"/>
  <c r="K637" s="1"/>
  <c r="M636"/>
  <c r="L636"/>
  <c r="D636"/>
  <c r="C636"/>
  <c r="K636" s="1"/>
  <c r="M635"/>
  <c r="L635"/>
  <c r="D635"/>
  <c r="C635"/>
  <c r="K635" s="1"/>
  <c r="M634"/>
  <c r="L634"/>
  <c r="D634"/>
  <c r="C634"/>
  <c r="K634" s="1"/>
  <c r="M633"/>
  <c r="D633"/>
  <c r="C633"/>
  <c r="M632"/>
  <c r="D632"/>
  <c r="C632"/>
  <c r="M631"/>
  <c r="D631"/>
  <c r="C631"/>
  <c r="M630"/>
  <c r="D630"/>
  <c r="C630"/>
  <c r="M629"/>
  <c r="D629"/>
  <c r="C629"/>
  <c r="M628"/>
  <c r="D628"/>
  <c r="C628"/>
  <c r="M627"/>
  <c r="D627"/>
  <c r="C627"/>
  <c r="M626"/>
  <c r="D626"/>
  <c r="C626"/>
  <c r="L626" s="1"/>
  <c r="M625"/>
  <c r="L625"/>
  <c r="D625"/>
  <c r="C625"/>
  <c r="K625" s="1"/>
  <c r="M624"/>
  <c r="D624"/>
  <c r="C624"/>
  <c r="K624" s="1"/>
  <c r="M623"/>
  <c r="D623"/>
  <c r="C623"/>
  <c r="K623" s="1"/>
  <c r="M622"/>
  <c r="D622"/>
  <c r="C622"/>
  <c r="K622" s="1"/>
  <c r="M621"/>
  <c r="D621"/>
  <c r="C621"/>
  <c r="K621" s="1"/>
  <c r="M620"/>
  <c r="D620"/>
  <c r="C620"/>
  <c r="K620" s="1"/>
  <c r="M619"/>
  <c r="D619"/>
  <c r="C619"/>
  <c r="K619" s="1"/>
  <c r="M618"/>
  <c r="D618"/>
  <c r="C618"/>
  <c r="K618" s="1"/>
  <c r="M617"/>
  <c r="D617"/>
  <c r="C617"/>
  <c r="M616"/>
  <c r="D616"/>
  <c r="C616"/>
  <c r="M615"/>
  <c r="D615"/>
  <c r="C615"/>
  <c r="M614"/>
  <c r="D614"/>
  <c r="C614"/>
  <c r="M613"/>
  <c r="D613"/>
  <c r="C613"/>
  <c r="M612"/>
  <c r="D612"/>
  <c r="C612"/>
  <c r="M611"/>
  <c r="D611"/>
  <c r="C611"/>
  <c r="M610"/>
  <c r="K610"/>
  <c r="D610"/>
  <c r="C610"/>
  <c r="L610" s="1"/>
  <c r="M609"/>
  <c r="L609"/>
  <c r="K609"/>
  <c r="D609"/>
  <c r="C609"/>
  <c r="M608"/>
  <c r="L608"/>
  <c r="D608"/>
  <c r="C608"/>
  <c r="K608" s="1"/>
  <c r="M607"/>
  <c r="L607"/>
  <c r="D607"/>
  <c r="C607"/>
  <c r="K607" s="1"/>
  <c r="M606"/>
  <c r="L606"/>
  <c r="D606"/>
  <c r="C606"/>
  <c r="K606" s="1"/>
  <c r="M605"/>
  <c r="L605"/>
  <c r="D605"/>
  <c r="C605"/>
  <c r="K605" s="1"/>
  <c r="M604"/>
  <c r="L604"/>
  <c r="D604"/>
  <c r="C604"/>
  <c r="K604" s="1"/>
  <c r="M603"/>
  <c r="L603"/>
  <c r="D603"/>
  <c r="C603"/>
  <c r="K603" s="1"/>
  <c r="M602"/>
  <c r="L602"/>
  <c r="D602"/>
  <c r="C602"/>
  <c r="K602" s="1"/>
  <c r="M601"/>
  <c r="D601"/>
  <c r="C601"/>
  <c r="M600"/>
  <c r="D600"/>
  <c r="C600"/>
  <c r="M599"/>
  <c r="D599"/>
  <c r="C599"/>
  <c r="M598"/>
  <c r="D598"/>
  <c r="C598"/>
  <c r="M597"/>
  <c r="D597"/>
  <c r="C597"/>
  <c r="M596"/>
  <c r="D596"/>
  <c r="C596"/>
  <c r="M595"/>
  <c r="D595"/>
  <c r="C595"/>
  <c r="M594"/>
  <c r="D594"/>
  <c r="C594"/>
  <c r="L594" s="1"/>
  <c r="M593"/>
  <c r="L593"/>
  <c r="D593"/>
  <c r="C593"/>
  <c r="K593" s="1"/>
  <c r="M592"/>
  <c r="D592"/>
  <c r="C592"/>
  <c r="K592" s="1"/>
  <c r="M591"/>
  <c r="D591"/>
  <c r="C591"/>
  <c r="K591" s="1"/>
  <c r="M590"/>
  <c r="D590"/>
  <c r="C590"/>
  <c r="K590" s="1"/>
  <c r="M589"/>
  <c r="D589"/>
  <c r="C589"/>
  <c r="K589" s="1"/>
  <c r="M588"/>
  <c r="D588"/>
  <c r="C588"/>
  <c r="K588" s="1"/>
  <c r="M587"/>
  <c r="D587"/>
  <c r="C587"/>
  <c r="K587" s="1"/>
  <c r="M586"/>
  <c r="D586"/>
  <c r="C586"/>
  <c r="K586" s="1"/>
  <c r="M585"/>
  <c r="D585"/>
  <c r="C585"/>
  <c r="M584"/>
  <c r="D584"/>
  <c r="C584"/>
  <c r="M583"/>
  <c r="D583"/>
  <c r="C583"/>
  <c r="M582"/>
  <c r="D582"/>
  <c r="C582"/>
  <c r="M581"/>
  <c r="D581"/>
  <c r="C581"/>
  <c r="M580"/>
  <c r="D580"/>
  <c r="C580"/>
  <c r="M579"/>
  <c r="D579"/>
  <c r="C579"/>
  <c r="M578"/>
  <c r="L578"/>
  <c r="K578"/>
  <c r="D578"/>
  <c r="C578"/>
  <c r="M577"/>
  <c r="D577"/>
  <c r="C577"/>
  <c r="K577" s="1"/>
  <c r="M576"/>
  <c r="D576"/>
  <c r="C576"/>
  <c r="K576" s="1"/>
  <c r="M575"/>
  <c r="D575"/>
  <c r="C575"/>
  <c r="K575" s="1"/>
  <c r="M574"/>
  <c r="D574"/>
  <c r="C574"/>
  <c r="K574" s="1"/>
  <c r="M573"/>
  <c r="D573"/>
  <c r="C573"/>
  <c r="K573" s="1"/>
  <c r="M572"/>
  <c r="D572"/>
  <c r="C572"/>
  <c r="K572" s="1"/>
  <c r="M571"/>
  <c r="D571"/>
  <c r="C571"/>
  <c r="K571" s="1"/>
  <c r="M570"/>
  <c r="D570"/>
  <c r="C570"/>
  <c r="K570" s="1"/>
  <c r="M569"/>
  <c r="D569"/>
  <c r="C569"/>
  <c r="M568"/>
  <c r="D568"/>
  <c r="C568"/>
  <c r="M567"/>
  <c r="D567"/>
  <c r="C567"/>
  <c r="M566"/>
  <c r="D566"/>
  <c r="C566"/>
  <c r="M565"/>
  <c r="D565"/>
  <c r="C565"/>
  <c r="M564"/>
  <c r="D564"/>
  <c r="C564"/>
  <c r="M563"/>
  <c r="D563"/>
  <c r="C563"/>
  <c r="M562"/>
  <c r="D562"/>
  <c r="C562"/>
  <c r="L562" s="1"/>
  <c r="M561"/>
  <c r="L561"/>
  <c r="D561"/>
  <c r="C561"/>
  <c r="K561" s="1"/>
  <c r="M560"/>
  <c r="L560"/>
  <c r="D560"/>
  <c r="C560"/>
  <c r="K560" s="1"/>
  <c r="M559"/>
  <c r="L559"/>
  <c r="D559"/>
  <c r="C559"/>
  <c r="K559" s="1"/>
  <c r="M558"/>
  <c r="L558"/>
  <c r="D558"/>
  <c r="C558"/>
  <c r="K558" s="1"/>
  <c r="M557"/>
  <c r="L557"/>
  <c r="D557"/>
  <c r="C557"/>
  <c r="K557" s="1"/>
  <c r="M556"/>
  <c r="L556"/>
  <c r="D556"/>
  <c r="C556"/>
  <c r="K556" s="1"/>
  <c r="M555"/>
  <c r="L555"/>
  <c r="D555"/>
  <c r="C555"/>
  <c r="K555" s="1"/>
  <c r="M554"/>
  <c r="L554"/>
  <c r="D554"/>
  <c r="C554"/>
  <c r="K554" s="1"/>
  <c r="M553"/>
  <c r="D553"/>
  <c r="C553"/>
  <c r="M552"/>
  <c r="D552"/>
  <c r="C552"/>
  <c r="M551"/>
  <c r="D551"/>
  <c r="C551"/>
  <c r="M550"/>
  <c r="D550"/>
  <c r="C550"/>
  <c r="M549"/>
  <c r="D549"/>
  <c r="C549"/>
  <c r="M548"/>
  <c r="D548"/>
  <c r="C548"/>
  <c r="M547"/>
  <c r="D547"/>
  <c r="C547"/>
  <c r="M546"/>
  <c r="L546"/>
  <c r="D546"/>
  <c r="C546"/>
  <c r="K546" s="1"/>
  <c r="M545"/>
  <c r="K545"/>
  <c r="D545"/>
  <c r="C545"/>
  <c r="L545" s="1"/>
  <c r="M544"/>
  <c r="L544"/>
  <c r="D544"/>
  <c r="C544"/>
  <c r="K544" s="1"/>
  <c r="M543"/>
  <c r="L543"/>
  <c r="D543"/>
  <c r="C543"/>
  <c r="K543" s="1"/>
  <c r="M542"/>
  <c r="L542"/>
  <c r="D542"/>
  <c r="C542"/>
  <c r="K542" s="1"/>
  <c r="M541"/>
  <c r="L541"/>
  <c r="D541"/>
  <c r="C541"/>
  <c r="K541" s="1"/>
  <c r="M540"/>
  <c r="L540"/>
  <c r="D540"/>
  <c r="C540"/>
  <c r="K540" s="1"/>
  <c r="M539"/>
  <c r="L539"/>
  <c r="D539"/>
  <c r="C539"/>
  <c r="K539" s="1"/>
  <c r="M538"/>
  <c r="L538"/>
  <c r="D538"/>
  <c r="C538"/>
  <c r="K538" s="1"/>
  <c r="M537"/>
  <c r="D537"/>
  <c r="C537"/>
  <c r="M536"/>
  <c r="D536"/>
  <c r="C536"/>
  <c r="M535"/>
  <c r="D535"/>
  <c r="C535"/>
  <c r="M534"/>
  <c r="D534"/>
  <c r="C534"/>
  <c r="M533"/>
  <c r="D533"/>
  <c r="C533"/>
  <c r="M532"/>
  <c r="D532"/>
  <c r="C532"/>
  <c r="M531"/>
  <c r="D531"/>
  <c r="C531"/>
  <c r="M530"/>
  <c r="D530"/>
  <c r="C530"/>
  <c r="K530" s="1"/>
  <c r="M529"/>
  <c r="L529"/>
  <c r="D529"/>
  <c r="C529"/>
  <c r="K529" s="1"/>
  <c r="M528"/>
  <c r="D528"/>
  <c r="C528"/>
  <c r="K528" s="1"/>
  <c r="M527"/>
  <c r="D527"/>
  <c r="C527"/>
  <c r="K527" s="1"/>
  <c r="M526"/>
  <c r="D526"/>
  <c r="C526"/>
  <c r="K526" s="1"/>
  <c r="M525"/>
  <c r="D525"/>
  <c r="C525"/>
  <c r="K525" s="1"/>
  <c r="M524"/>
  <c r="D524"/>
  <c r="C524"/>
  <c r="K524" s="1"/>
  <c r="M523"/>
  <c r="D523"/>
  <c r="C523"/>
  <c r="K523" s="1"/>
  <c r="M522"/>
  <c r="D522"/>
  <c r="C522"/>
  <c r="K522" s="1"/>
  <c r="M521"/>
  <c r="D521"/>
  <c r="C521"/>
  <c r="K521" s="1"/>
  <c r="M520"/>
  <c r="D520"/>
  <c r="C520"/>
  <c r="M519"/>
  <c r="D519"/>
  <c r="C519"/>
  <c r="M518"/>
  <c r="D518"/>
  <c r="C518"/>
  <c r="M517"/>
  <c r="D517"/>
  <c r="C517"/>
  <c r="M516"/>
  <c r="D516"/>
  <c r="C516"/>
  <c r="M515"/>
  <c r="D515"/>
  <c r="C515"/>
  <c r="M514"/>
  <c r="D514"/>
  <c r="C514"/>
  <c r="M513"/>
  <c r="L513"/>
  <c r="K513"/>
  <c r="D513"/>
  <c r="C513"/>
  <c r="M512"/>
  <c r="D512"/>
  <c r="C512"/>
  <c r="K512" s="1"/>
  <c r="M511"/>
  <c r="D511"/>
  <c r="C511"/>
  <c r="K511" s="1"/>
  <c r="M510"/>
  <c r="D510"/>
  <c r="C510"/>
  <c r="K510" s="1"/>
  <c r="M509"/>
  <c r="D509"/>
  <c r="C509"/>
  <c r="K509" s="1"/>
  <c r="M508"/>
  <c r="D508"/>
  <c r="C508"/>
  <c r="K508" s="1"/>
  <c r="M507"/>
  <c r="D507"/>
  <c r="C507"/>
  <c r="K507" s="1"/>
  <c r="M506"/>
  <c r="D506"/>
  <c r="C506"/>
  <c r="K506" s="1"/>
  <c r="M505"/>
  <c r="D505"/>
  <c r="C505"/>
  <c r="K505" s="1"/>
  <c r="M504"/>
  <c r="D504"/>
  <c r="C504"/>
  <c r="M503"/>
  <c r="D503"/>
  <c r="C503"/>
  <c r="M502"/>
  <c r="D502"/>
  <c r="C502"/>
  <c r="M501"/>
  <c r="D501"/>
  <c r="C501"/>
  <c r="M500"/>
  <c r="D500"/>
  <c r="C500"/>
  <c r="M499"/>
  <c r="D499"/>
  <c r="C499"/>
  <c r="M498"/>
  <c r="D498"/>
  <c r="C498"/>
  <c r="M497"/>
  <c r="D497"/>
  <c r="C497"/>
  <c r="L497" s="1"/>
  <c r="M496"/>
  <c r="L496"/>
  <c r="D496"/>
  <c r="C496"/>
  <c r="K496" s="1"/>
  <c r="M495"/>
  <c r="L495"/>
  <c r="D495"/>
  <c r="C495"/>
  <c r="K495" s="1"/>
  <c r="M494"/>
  <c r="L494"/>
  <c r="D494"/>
  <c r="C494"/>
  <c r="K494" s="1"/>
  <c r="M493"/>
  <c r="L493"/>
  <c r="D493"/>
  <c r="C493"/>
  <c r="K493" s="1"/>
  <c r="M492"/>
  <c r="L492"/>
  <c r="D492"/>
  <c r="C492"/>
  <c r="K492" s="1"/>
  <c r="M491"/>
  <c r="L491"/>
  <c r="D491"/>
  <c r="C491"/>
  <c r="K491" s="1"/>
  <c r="M490"/>
  <c r="L490"/>
  <c r="D490"/>
  <c r="C490"/>
  <c r="K490" s="1"/>
  <c r="M489"/>
  <c r="L489"/>
  <c r="D489"/>
  <c r="C489"/>
  <c r="K489" s="1"/>
  <c r="M488"/>
  <c r="D488"/>
  <c r="C488"/>
  <c r="M487"/>
  <c r="D487"/>
  <c r="C487"/>
  <c r="M486"/>
  <c r="D486"/>
  <c r="C486"/>
  <c r="M485"/>
  <c r="D485"/>
  <c r="C485"/>
  <c r="M484"/>
  <c r="D484"/>
  <c r="C484"/>
  <c r="M483"/>
  <c r="D483"/>
  <c r="C483"/>
  <c r="M482"/>
  <c r="D482"/>
  <c r="C482"/>
  <c r="M481"/>
  <c r="L481"/>
  <c r="D481"/>
  <c r="C481"/>
  <c r="K481" s="1"/>
  <c r="M480"/>
  <c r="K480"/>
  <c r="D480"/>
  <c r="C480"/>
  <c r="L480" s="1"/>
  <c r="M479"/>
  <c r="L479"/>
  <c r="D479"/>
  <c r="C479"/>
  <c r="K479" s="1"/>
  <c r="M478"/>
  <c r="L478"/>
  <c r="D478"/>
  <c r="C478"/>
  <c r="K478" s="1"/>
  <c r="M477"/>
  <c r="L477"/>
  <c r="D477"/>
  <c r="C477"/>
  <c r="K477" s="1"/>
  <c r="M476"/>
  <c r="L476"/>
  <c r="D476"/>
  <c r="C476"/>
  <c r="K476" s="1"/>
  <c r="M475"/>
  <c r="L475"/>
  <c r="D475"/>
  <c r="C475"/>
  <c r="K475" s="1"/>
  <c r="M474"/>
  <c r="L474"/>
  <c r="D474"/>
  <c r="C474"/>
  <c r="K474" s="1"/>
  <c r="M473"/>
  <c r="L473"/>
  <c r="D473"/>
  <c r="C473"/>
  <c r="K473" s="1"/>
  <c r="M472"/>
  <c r="D472"/>
  <c r="C472"/>
  <c r="M471"/>
  <c r="D471"/>
  <c r="C471"/>
  <c r="M470"/>
  <c r="D470"/>
  <c r="C470"/>
  <c r="M469"/>
  <c r="D469"/>
  <c r="C469"/>
  <c r="M468"/>
  <c r="D468"/>
  <c r="C468"/>
  <c r="M467"/>
  <c r="D467"/>
  <c r="C467"/>
  <c r="M466"/>
  <c r="D466"/>
  <c r="C466"/>
  <c r="M465"/>
  <c r="D465"/>
  <c r="C465"/>
  <c r="K465" s="1"/>
  <c r="M464"/>
  <c r="L464"/>
  <c r="D464"/>
  <c r="C464"/>
  <c r="K464" s="1"/>
  <c r="M463"/>
  <c r="D463"/>
  <c r="C463"/>
  <c r="K463" s="1"/>
  <c r="M462"/>
  <c r="D462"/>
  <c r="C462"/>
  <c r="K462" s="1"/>
  <c r="M461"/>
  <c r="D461"/>
  <c r="C461"/>
  <c r="K461" s="1"/>
  <c r="M460"/>
  <c r="D460"/>
  <c r="C460"/>
  <c r="K460" s="1"/>
  <c r="M459"/>
  <c r="D459"/>
  <c r="C459"/>
  <c r="K459" s="1"/>
  <c r="M458"/>
  <c r="D458"/>
  <c r="C458"/>
  <c r="K458" s="1"/>
  <c r="M457"/>
  <c r="D457"/>
  <c r="C457"/>
  <c r="K457" s="1"/>
  <c r="M456"/>
  <c r="D456"/>
  <c r="C456"/>
  <c r="M455"/>
  <c r="D455"/>
  <c r="C455"/>
  <c r="M454"/>
  <c r="D454"/>
  <c r="C454"/>
  <c r="M453"/>
  <c r="D453"/>
  <c r="C453"/>
  <c r="M452"/>
  <c r="D452"/>
  <c r="C452"/>
  <c r="M451"/>
  <c r="D451"/>
  <c r="C451"/>
  <c r="M450"/>
  <c r="D450"/>
  <c r="C450"/>
  <c r="M449"/>
  <c r="L449"/>
  <c r="D449"/>
  <c r="C449"/>
  <c r="K449" s="1"/>
  <c r="M448"/>
  <c r="D448"/>
  <c r="C448"/>
  <c r="K448" s="1"/>
  <c r="M447"/>
  <c r="D447"/>
  <c r="C447"/>
  <c r="K447" s="1"/>
  <c r="M446"/>
  <c r="D446"/>
  <c r="C446"/>
  <c r="K446" s="1"/>
  <c r="M445"/>
  <c r="D445"/>
  <c r="C445"/>
  <c r="K445" s="1"/>
  <c r="M444"/>
  <c r="D444"/>
  <c r="C444"/>
  <c r="K444" s="1"/>
  <c r="M443"/>
  <c r="D443"/>
  <c r="C443"/>
  <c r="K443" s="1"/>
  <c r="M442"/>
  <c r="D442"/>
  <c r="C442"/>
  <c r="K442" s="1"/>
  <c r="M441"/>
  <c r="D441"/>
  <c r="C441"/>
  <c r="K441" s="1"/>
  <c r="M440"/>
  <c r="D440"/>
  <c r="C440"/>
  <c r="M439"/>
  <c r="D439"/>
  <c r="C439"/>
  <c r="M438"/>
  <c r="D438"/>
  <c r="C438"/>
  <c r="M437"/>
  <c r="D437"/>
  <c r="C437"/>
  <c r="M436"/>
  <c r="D436"/>
  <c r="C436"/>
  <c r="M435"/>
  <c r="D435"/>
  <c r="C435"/>
  <c r="M434"/>
  <c r="D434"/>
  <c r="C434"/>
  <c r="M433"/>
  <c r="K433"/>
  <c r="D433"/>
  <c r="C433"/>
  <c r="L433" s="1"/>
  <c r="M432"/>
  <c r="L432"/>
  <c r="K432"/>
  <c r="D432"/>
  <c r="C432"/>
  <c r="M431"/>
  <c r="L431"/>
  <c r="D431"/>
  <c r="C431"/>
  <c r="K431" s="1"/>
  <c r="M430"/>
  <c r="L430"/>
  <c r="D430"/>
  <c r="C430"/>
  <c r="K430" s="1"/>
  <c r="M429"/>
  <c r="L429"/>
  <c r="D429"/>
  <c r="C429"/>
  <c r="K429" s="1"/>
  <c r="M428"/>
  <c r="L428"/>
  <c r="D428"/>
  <c r="C428"/>
  <c r="K428" s="1"/>
  <c r="M427"/>
  <c r="L427"/>
  <c r="D427"/>
  <c r="C427"/>
  <c r="K427" s="1"/>
  <c r="M426"/>
  <c r="L426"/>
  <c r="D426"/>
  <c r="C426"/>
  <c r="K426" s="1"/>
  <c r="M425"/>
  <c r="L425"/>
  <c r="D425"/>
  <c r="C425"/>
  <c r="K425" s="1"/>
  <c r="M424"/>
  <c r="D424"/>
  <c r="C424"/>
  <c r="M423"/>
  <c r="D423"/>
  <c r="C423"/>
  <c r="M422"/>
  <c r="D422"/>
  <c r="C422"/>
  <c r="M421"/>
  <c r="D421"/>
  <c r="C421"/>
  <c r="M420"/>
  <c r="D420"/>
  <c r="C420"/>
  <c r="M419"/>
  <c r="D419"/>
  <c r="C419"/>
  <c r="M418"/>
  <c r="D418"/>
  <c r="C418"/>
  <c r="M417"/>
  <c r="L417"/>
  <c r="D417"/>
  <c r="C417"/>
  <c r="K417" s="1"/>
  <c r="M416"/>
  <c r="D416"/>
  <c r="C416"/>
  <c r="L416" s="1"/>
  <c r="M415"/>
  <c r="L415"/>
  <c r="D415"/>
  <c r="C415"/>
  <c r="K415" s="1"/>
  <c r="M414"/>
  <c r="L414"/>
  <c r="D414"/>
  <c r="C414"/>
  <c r="K414" s="1"/>
  <c r="M413"/>
  <c r="L413"/>
  <c r="D413"/>
  <c r="C413"/>
  <c r="K413" s="1"/>
  <c r="M412"/>
  <c r="L412"/>
  <c r="D412"/>
  <c r="C412"/>
  <c r="K412" s="1"/>
  <c r="M411"/>
  <c r="L411"/>
  <c r="D411"/>
  <c r="C411"/>
  <c r="K411" s="1"/>
  <c r="M410"/>
  <c r="L410"/>
  <c r="D410"/>
  <c r="C410"/>
  <c r="K410" s="1"/>
  <c r="M409"/>
  <c r="L409"/>
  <c r="D409"/>
  <c r="C409"/>
  <c r="K409" s="1"/>
  <c r="M408"/>
  <c r="D408"/>
  <c r="C408"/>
  <c r="M407"/>
  <c r="D407"/>
  <c r="C407"/>
  <c r="M406"/>
  <c r="D406"/>
  <c r="C406"/>
  <c r="M405"/>
  <c r="D405"/>
  <c r="C405"/>
  <c r="M404"/>
  <c r="D404"/>
  <c r="C404"/>
  <c r="M403"/>
  <c r="D403"/>
  <c r="C403"/>
  <c r="M402"/>
  <c r="D402"/>
  <c r="C402"/>
  <c r="M401"/>
  <c r="D401"/>
  <c r="C401"/>
  <c r="K401" s="1"/>
  <c r="M400"/>
  <c r="L400"/>
  <c r="D400"/>
  <c r="C400"/>
  <c r="K400" s="1"/>
  <c r="M399"/>
  <c r="D399"/>
  <c r="C399"/>
  <c r="K399" s="1"/>
  <c r="M398"/>
  <c r="D398"/>
  <c r="C398"/>
  <c r="K398" s="1"/>
  <c r="M397"/>
  <c r="D397"/>
  <c r="C397"/>
  <c r="K397" s="1"/>
  <c r="M396"/>
  <c r="D396"/>
  <c r="C396"/>
  <c r="K396" s="1"/>
  <c r="M395"/>
  <c r="D395"/>
  <c r="C395"/>
  <c r="K395" s="1"/>
  <c r="M394"/>
  <c r="D394"/>
  <c r="C394"/>
  <c r="K394" s="1"/>
  <c r="M393"/>
  <c r="D393"/>
  <c r="C393"/>
  <c r="K393" s="1"/>
  <c r="M392"/>
  <c r="D392"/>
  <c r="C392"/>
  <c r="K392" s="1"/>
  <c r="M391"/>
  <c r="D391"/>
  <c r="C391"/>
  <c r="M390"/>
  <c r="D390"/>
  <c r="C390"/>
  <c r="M389"/>
  <c r="D389"/>
  <c r="C389"/>
  <c r="M388"/>
  <c r="D388"/>
  <c r="C388"/>
  <c r="M387"/>
  <c r="D387"/>
  <c r="C387"/>
  <c r="M386"/>
  <c r="D386"/>
  <c r="C386"/>
  <c r="M385"/>
  <c r="D385"/>
  <c r="C385"/>
  <c r="M384"/>
  <c r="L384"/>
  <c r="K384"/>
  <c r="D384"/>
  <c r="C384"/>
  <c r="M383"/>
  <c r="D383"/>
  <c r="C383"/>
  <c r="K383" s="1"/>
  <c r="M382"/>
  <c r="D382"/>
  <c r="C382"/>
  <c r="K382" s="1"/>
  <c r="M381"/>
  <c r="D381"/>
  <c r="C381"/>
  <c r="K381" s="1"/>
  <c r="M380"/>
  <c r="D380"/>
  <c r="C380"/>
  <c r="K380" s="1"/>
  <c r="M379"/>
  <c r="D379"/>
  <c r="C379"/>
  <c r="K379" s="1"/>
  <c r="M378"/>
  <c r="D378"/>
  <c r="C378"/>
  <c r="K378" s="1"/>
  <c r="M377"/>
  <c r="D377"/>
  <c r="C377"/>
  <c r="K377" s="1"/>
  <c r="M376"/>
  <c r="D376"/>
  <c r="C376"/>
  <c r="K376" s="1"/>
  <c r="M375"/>
  <c r="D375"/>
  <c r="C375"/>
  <c r="M374"/>
  <c r="D374"/>
  <c r="C374"/>
  <c r="M373"/>
  <c r="D373"/>
  <c r="C373"/>
  <c r="M372"/>
  <c r="D372"/>
  <c r="C372"/>
  <c r="M371"/>
  <c r="D371"/>
  <c r="C371"/>
  <c r="M370"/>
  <c r="D370"/>
  <c r="C370"/>
  <c r="M369"/>
  <c r="D369"/>
  <c r="C369"/>
  <c r="M368"/>
  <c r="K368"/>
  <c r="D368"/>
  <c r="C368"/>
  <c r="L368" s="1"/>
  <c r="M367"/>
  <c r="L367"/>
  <c r="D367"/>
  <c r="C367"/>
  <c r="K367" s="1"/>
  <c r="M366"/>
  <c r="L366"/>
  <c r="D366"/>
  <c r="C366"/>
  <c r="K366" s="1"/>
  <c r="M365"/>
  <c r="L365"/>
  <c r="D365"/>
  <c r="C365"/>
  <c r="K365" s="1"/>
  <c r="M364"/>
  <c r="L364"/>
  <c r="D364"/>
  <c r="C364"/>
  <c r="K364" s="1"/>
  <c r="M363"/>
  <c r="L363"/>
  <c r="D363"/>
  <c r="C363"/>
  <c r="K363" s="1"/>
  <c r="M362"/>
  <c r="L362"/>
  <c r="D362"/>
  <c r="C362"/>
  <c r="K362" s="1"/>
  <c r="M361"/>
  <c r="L361"/>
  <c r="D361"/>
  <c r="C361"/>
  <c r="K361" s="1"/>
  <c r="M360"/>
  <c r="L360"/>
  <c r="D360"/>
  <c r="C360"/>
  <c r="K360" s="1"/>
  <c r="M359"/>
  <c r="D359"/>
  <c r="C359"/>
  <c r="M358"/>
  <c r="D358"/>
  <c r="C358"/>
  <c r="M357"/>
  <c r="D357"/>
  <c r="C357"/>
  <c r="M356"/>
  <c r="D356"/>
  <c r="C356"/>
  <c r="M355"/>
  <c r="D355"/>
  <c r="C355"/>
  <c r="M354"/>
  <c r="D354"/>
  <c r="C354"/>
  <c r="M353"/>
  <c r="D353"/>
  <c r="C353"/>
  <c r="M352"/>
  <c r="L352"/>
  <c r="D352"/>
  <c r="C352"/>
  <c r="K352" s="1"/>
  <c r="M351"/>
  <c r="D351"/>
  <c r="C351"/>
  <c r="L351" s="1"/>
  <c r="M350"/>
  <c r="L350"/>
  <c r="D350"/>
  <c r="C350"/>
  <c r="K350" s="1"/>
  <c r="M349"/>
  <c r="L349"/>
  <c r="D349"/>
  <c r="C349"/>
  <c r="K349" s="1"/>
  <c r="M348"/>
  <c r="L348"/>
  <c r="D348"/>
  <c r="C348"/>
  <c r="K348" s="1"/>
  <c r="M347"/>
  <c r="L347"/>
  <c r="D347"/>
  <c r="C347"/>
  <c r="K347" s="1"/>
  <c r="M346"/>
  <c r="L346"/>
  <c r="D346"/>
  <c r="C346"/>
  <c r="K346" s="1"/>
  <c r="M345"/>
  <c r="L345"/>
  <c r="D345"/>
  <c r="C345"/>
  <c r="K345" s="1"/>
  <c r="M344"/>
  <c r="L344"/>
  <c r="D344"/>
  <c r="C344"/>
  <c r="K344" s="1"/>
  <c r="M343"/>
  <c r="D343"/>
  <c r="C343"/>
  <c r="M342"/>
  <c r="D342"/>
  <c r="C342"/>
  <c r="M341"/>
  <c r="D341"/>
  <c r="C341"/>
  <c r="M340"/>
  <c r="D340"/>
  <c r="C340"/>
  <c r="M339"/>
  <c r="D339"/>
  <c r="C339"/>
  <c r="M338"/>
  <c r="D338"/>
  <c r="C338"/>
  <c r="M337"/>
  <c r="D337"/>
  <c r="C337"/>
  <c r="M336"/>
  <c r="D336"/>
  <c r="C336"/>
  <c r="K336" s="1"/>
  <c r="M335"/>
  <c r="L335"/>
  <c r="D335"/>
  <c r="C335"/>
  <c r="K335" s="1"/>
  <c r="M334"/>
  <c r="D334"/>
  <c r="C334"/>
  <c r="K334" s="1"/>
  <c r="M333"/>
  <c r="D333"/>
  <c r="C333"/>
  <c r="K333" s="1"/>
  <c r="M332"/>
  <c r="D332"/>
  <c r="C332"/>
  <c r="K332" s="1"/>
  <c r="M331"/>
  <c r="D331"/>
  <c r="C331"/>
  <c r="K331" s="1"/>
  <c r="M330"/>
  <c r="D330"/>
  <c r="C330"/>
  <c r="K330" s="1"/>
  <c r="M329"/>
  <c r="D329"/>
  <c r="C329"/>
  <c r="K329" s="1"/>
  <c r="M328"/>
  <c r="D328"/>
  <c r="C328"/>
  <c r="K328" s="1"/>
  <c r="M327"/>
  <c r="D327"/>
  <c r="C327"/>
  <c r="M326"/>
  <c r="D326"/>
  <c r="C326"/>
  <c r="M325"/>
  <c r="D325"/>
  <c r="C325"/>
  <c r="M324"/>
  <c r="D324"/>
  <c r="C324"/>
  <c r="M323"/>
  <c r="D323"/>
  <c r="C323"/>
  <c r="M322"/>
  <c r="D322"/>
  <c r="C322"/>
  <c r="M321"/>
  <c r="D321"/>
  <c r="C321"/>
  <c r="M320"/>
  <c r="K320"/>
  <c r="D320"/>
  <c r="C320"/>
  <c r="L320" s="1"/>
  <c r="M319"/>
  <c r="L319"/>
  <c r="D319"/>
  <c r="C319"/>
  <c r="K319" s="1"/>
  <c r="M318"/>
  <c r="L318"/>
  <c r="D318"/>
  <c r="C318"/>
  <c r="K318" s="1"/>
  <c r="M317"/>
  <c r="L317"/>
  <c r="D317"/>
  <c r="C317"/>
  <c r="K317" s="1"/>
  <c r="M316"/>
  <c r="L316"/>
  <c r="D316"/>
  <c r="C316"/>
  <c r="K316" s="1"/>
  <c r="M315"/>
  <c r="L315"/>
  <c r="D315"/>
  <c r="C315"/>
  <c r="K315" s="1"/>
  <c r="M314"/>
  <c r="L314"/>
  <c r="D314"/>
  <c r="C314"/>
  <c r="K314" s="1"/>
  <c r="M313"/>
  <c r="L313"/>
  <c r="D313"/>
  <c r="C313"/>
  <c r="K313" s="1"/>
  <c r="M312"/>
  <c r="D312"/>
  <c r="C312"/>
  <c r="K312" s="1"/>
  <c r="M311"/>
  <c r="D311"/>
  <c r="C311"/>
  <c r="M310"/>
  <c r="D310"/>
  <c r="C310"/>
  <c r="M309"/>
  <c r="D309"/>
  <c r="C309"/>
  <c r="M308"/>
  <c r="D308"/>
  <c r="C308"/>
  <c r="M307"/>
  <c r="D307"/>
  <c r="C307"/>
  <c r="M306"/>
  <c r="D306"/>
  <c r="C306"/>
  <c r="M305"/>
  <c r="D305"/>
  <c r="C305"/>
  <c r="M304"/>
  <c r="D304"/>
  <c r="C304"/>
  <c r="K304" s="1"/>
  <c r="M303"/>
  <c r="L303"/>
  <c r="D303"/>
  <c r="C303"/>
  <c r="K303" s="1"/>
  <c r="M302"/>
  <c r="D302"/>
  <c r="C302"/>
  <c r="K302" s="1"/>
  <c r="M301"/>
  <c r="D301"/>
  <c r="C301"/>
  <c r="K301" s="1"/>
  <c r="M300"/>
  <c r="D300"/>
  <c r="C300"/>
  <c r="K300" s="1"/>
  <c r="M299"/>
  <c r="D299"/>
  <c r="C299"/>
  <c r="K299" s="1"/>
  <c r="M298"/>
  <c r="D298"/>
  <c r="C298"/>
  <c r="K298" s="1"/>
  <c r="M297"/>
  <c r="D297"/>
  <c r="C297"/>
  <c r="K297" s="1"/>
  <c r="M296"/>
  <c r="D296"/>
  <c r="C296"/>
  <c r="K296" s="1"/>
  <c r="M295"/>
  <c r="D295"/>
  <c r="C295"/>
  <c r="M294"/>
  <c r="D294"/>
  <c r="C294"/>
  <c r="M293"/>
  <c r="D293"/>
  <c r="C293"/>
  <c r="M292"/>
  <c r="D292"/>
  <c r="C292"/>
  <c r="K292" s="1"/>
  <c r="M291"/>
  <c r="D291"/>
  <c r="C291"/>
  <c r="K291" s="1"/>
  <c r="M290"/>
  <c r="D290"/>
  <c r="C290"/>
  <c r="K290" s="1"/>
  <c r="M289"/>
  <c r="D289"/>
  <c r="C289"/>
  <c r="K289" s="1"/>
  <c r="M288"/>
  <c r="L288"/>
  <c r="K288"/>
  <c r="D288"/>
  <c r="C288"/>
  <c r="M287"/>
  <c r="D287"/>
  <c r="C287"/>
  <c r="K287" s="1"/>
  <c r="M286"/>
  <c r="D286"/>
  <c r="C286"/>
  <c r="K286" s="1"/>
  <c r="M285"/>
  <c r="D285"/>
  <c r="C285"/>
  <c r="K285" s="1"/>
  <c r="M284"/>
  <c r="D284"/>
  <c r="C284"/>
  <c r="K284" s="1"/>
  <c r="M283"/>
  <c r="D283"/>
  <c r="C283"/>
  <c r="K283" s="1"/>
  <c r="M282"/>
  <c r="D282"/>
  <c r="C282"/>
  <c r="K282" s="1"/>
  <c r="M281"/>
  <c r="D281"/>
  <c r="C281"/>
  <c r="K281" s="1"/>
  <c r="M280"/>
  <c r="D280"/>
  <c r="C280"/>
  <c r="K280" s="1"/>
  <c r="M279"/>
  <c r="D279"/>
  <c r="C279"/>
  <c r="L279" s="1"/>
  <c r="M278"/>
  <c r="D278"/>
  <c r="C278"/>
  <c r="K278" s="1"/>
  <c r="M277"/>
  <c r="D277"/>
  <c r="C277"/>
  <c r="K277" s="1"/>
  <c r="M276"/>
  <c r="D276"/>
  <c r="C276"/>
  <c r="K276" s="1"/>
  <c r="M275"/>
  <c r="D275"/>
  <c r="C275"/>
  <c r="K275" s="1"/>
  <c r="M274"/>
  <c r="D274"/>
  <c r="C274"/>
  <c r="K274" s="1"/>
  <c r="M273"/>
  <c r="D273"/>
  <c r="C273"/>
  <c r="K273" s="1"/>
  <c r="M272"/>
  <c r="D272"/>
  <c r="C272"/>
  <c r="K272" s="1"/>
  <c r="M271"/>
  <c r="L271"/>
  <c r="D271"/>
  <c r="C271"/>
  <c r="K271" s="1"/>
  <c r="M270"/>
  <c r="D270"/>
  <c r="C270"/>
  <c r="K270" s="1"/>
  <c r="M269"/>
  <c r="D269"/>
  <c r="C269"/>
  <c r="K269" s="1"/>
  <c r="M268"/>
  <c r="D268"/>
  <c r="C268"/>
  <c r="K268" s="1"/>
  <c r="M267"/>
  <c r="D267"/>
  <c r="C267"/>
  <c r="K267" s="1"/>
  <c r="M266"/>
  <c r="D266"/>
  <c r="C266"/>
  <c r="K266" s="1"/>
  <c r="M265"/>
  <c r="D265"/>
  <c r="C265"/>
  <c r="K265" s="1"/>
  <c r="M264"/>
  <c r="D264"/>
  <c r="C264"/>
  <c r="K264" s="1"/>
  <c r="M263"/>
  <c r="D263"/>
  <c r="C263"/>
  <c r="K263" s="1"/>
  <c r="M262"/>
  <c r="D262"/>
  <c r="C262"/>
  <c r="K262" s="1"/>
  <c r="M261"/>
  <c r="D261"/>
  <c r="C261"/>
  <c r="K261" s="1"/>
  <c r="M260"/>
  <c r="D260"/>
  <c r="C260"/>
  <c r="K260" s="1"/>
  <c r="M259"/>
  <c r="D259"/>
  <c r="C259"/>
  <c r="K259" s="1"/>
  <c r="M258"/>
  <c r="D258"/>
  <c r="C258"/>
  <c r="K258" s="1"/>
  <c r="M257"/>
  <c r="D257"/>
  <c r="C257"/>
  <c r="K257" s="1"/>
  <c r="M256"/>
  <c r="D256"/>
  <c r="C256"/>
  <c r="K256" s="1"/>
  <c r="M255"/>
  <c r="D255"/>
  <c r="C255"/>
  <c r="K255" s="1"/>
  <c r="M254"/>
  <c r="D254"/>
  <c r="C254"/>
  <c r="M253"/>
  <c r="D253"/>
  <c r="C253"/>
  <c r="M252"/>
  <c r="D252"/>
  <c r="C252"/>
  <c r="M251"/>
  <c r="D251"/>
  <c r="C251"/>
  <c r="M250"/>
  <c r="D250"/>
  <c r="C250"/>
  <c r="M249"/>
  <c r="D249"/>
  <c r="C249"/>
  <c r="M248"/>
  <c r="D248"/>
  <c r="C248"/>
  <c r="M247"/>
  <c r="D247"/>
  <c r="C247"/>
  <c r="L247" s="1"/>
  <c r="M246"/>
  <c r="D246"/>
  <c r="C246"/>
  <c r="K246" s="1"/>
  <c r="M245"/>
  <c r="D245"/>
  <c r="C245"/>
  <c r="K245" s="1"/>
  <c r="M244"/>
  <c r="D244"/>
  <c r="C244"/>
  <c r="K244" s="1"/>
  <c r="M243"/>
  <c r="D243"/>
  <c r="C243"/>
  <c r="K243" s="1"/>
  <c r="M242"/>
  <c r="D242"/>
  <c r="C242"/>
  <c r="K242" s="1"/>
  <c r="M241"/>
  <c r="D241"/>
  <c r="C241"/>
  <c r="K241" s="1"/>
  <c r="M240"/>
  <c r="D240"/>
  <c r="C240"/>
  <c r="K240" s="1"/>
  <c r="M239"/>
  <c r="L239"/>
  <c r="D239"/>
  <c r="C239"/>
  <c r="K239" s="1"/>
  <c r="M238"/>
  <c r="D238"/>
  <c r="C238"/>
  <c r="K238" s="1"/>
  <c r="M237"/>
  <c r="D237"/>
  <c r="C237"/>
  <c r="K237" s="1"/>
  <c r="M236"/>
  <c r="D236"/>
  <c r="C236"/>
  <c r="K236" s="1"/>
  <c r="M235"/>
  <c r="D235"/>
  <c r="C235"/>
  <c r="M234"/>
  <c r="D234"/>
  <c r="C234"/>
  <c r="M233"/>
  <c r="D233"/>
  <c r="C233"/>
  <c r="M232"/>
  <c r="D232"/>
  <c r="C232"/>
  <c r="M231"/>
  <c r="D231"/>
  <c r="C231"/>
  <c r="L231" s="1"/>
  <c r="M230"/>
  <c r="D230"/>
  <c r="C230"/>
  <c r="K230" s="1"/>
  <c r="M229"/>
  <c r="D229"/>
  <c r="C229"/>
  <c r="K229" s="1"/>
  <c r="M228"/>
  <c r="D228"/>
  <c r="C228"/>
  <c r="L228" s="1"/>
  <c r="M227"/>
  <c r="L227"/>
  <c r="D227"/>
  <c r="C227"/>
  <c r="K227" s="1"/>
  <c r="M226"/>
  <c r="L226"/>
  <c r="D226"/>
  <c r="C226"/>
  <c r="K226" s="1"/>
  <c r="M225"/>
  <c r="L225"/>
  <c r="D225"/>
  <c r="C225"/>
  <c r="K225" s="1"/>
  <c r="M224"/>
  <c r="L224"/>
  <c r="D224"/>
  <c r="C224"/>
  <c r="K224" s="1"/>
  <c r="M223"/>
  <c r="D223"/>
  <c r="C223"/>
  <c r="K223" s="1"/>
  <c r="M222"/>
  <c r="D222"/>
  <c r="C222"/>
  <c r="K222" s="1"/>
  <c r="M221"/>
  <c r="D221"/>
  <c r="C221"/>
  <c r="K221" s="1"/>
  <c r="M220"/>
  <c r="D220"/>
  <c r="C220"/>
  <c r="K220" s="1"/>
  <c r="M219"/>
  <c r="D219"/>
  <c r="C219"/>
  <c r="M218"/>
  <c r="D218"/>
  <c r="C218"/>
  <c r="M217"/>
  <c r="D217"/>
  <c r="C217"/>
  <c r="M216"/>
  <c r="D216"/>
  <c r="C216"/>
  <c r="M215"/>
  <c r="D215"/>
  <c r="C215"/>
  <c r="L215" s="1"/>
  <c r="M214"/>
  <c r="D214"/>
  <c r="C214"/>
  <c r="K214" s="1"/>
  <c r="M213"/>
  <c r="D213"/>
  <c r="C213"/>
  <c r="K213" s="1"/>
  <c r="M212"/>
  <c r="D212"/>
  <c r="C212"/>
  <c r="K212" s="1"/>
  <c r="M211"/>
  <c r="D211"/>
  <c r="C211"/>
  <c r="K211" s="1"/>
  <c r="M210"/>
  <c r="D210"/>
  <c r="C210"/>
  <c r="K210" s="1"/>
  <c r="M209"/>
  <c r="D209"/>
  <c r="C209"/>
  <c r="K209" s="1"/>
  <c r="M208"/>
  <c r="D208"/>
  <c r="C208"/>
  <c r="K208" s="1"/>
  <c r="M207"/>
  <c r="L207"/>
  <c r="D207"/>
  <c r="C207"/>
  <c r="K207" s="1"/>
  <c r="M206"/>
  <c r="D206"/>
  <c r="C206"/>
  <c r="K206" s="1"/>
  <c r="M205"/>
  <c r="D205"/>
  <c r="C205"/>
  <c r="K205" s="1"/>
  <c r="M204"/>
  <c r="D204"/>
  <c r="C204"/>
  <c r="K204" s="1"/>
  <c r="M203"/>
  <c r="D203"/>
  <c r="C203"/>
  <c r="M202"/>
  <c r="D202"/>
  <c r="C202"/>
  <c r="M201"/>
  <c r="D201"/>
  <c r="C201"/>
  <c r="M200"/>
  <c r="D200"/>
  <c r="C200"/>
  <c r="M199"/>
  <c r="D199"/>
  <c r="C199"/>
  <c r="L199" s="1"/>
  <c r="M198"/>
  <c r="D198"/>
  <c r="C198"/>
  <c r="K198" s="1"/>
  <c r="M197"/>
  <c r="D197"/>
  <c r="C197"/>
  <c r="K197" s="1"/>
  <c r="M196"/>
  <c r="K196"/>
  <c r="D196"/>
  <c r="C196"/>
  <c r="L196" s="1"/>
  <c r="M195"/>
  <c r="L195"/>
  <c r="D195"/>
  <c r="C195"/>
  <c r="K195" s="1"/>
  <c r="M194"/>
  <c r="L194"/>
  <c r="D194"/>
  <c r="C194"/>
  <c r="K194" s="1"/>
  <c r="M193"/>
  <c r="L193"/>
  <c r="D193"/>
  <c r="C193"/>
  <c r="K193" s="1"/>
  <c r="M192"/>
  <c r="L192"/>
  <c r="D192"/>
  <c r="C192"/>
  <c r="K192" s="1"/>
  <c r="M191"/>
  <c r="D191"/>
  <c r="C191"/>
  <c r="K191" s="1"/>
  <c r="M190"/>
  <c r="D190"/>
  <c r="C190"/>
  <c r="K190" s="1"/>
  <c r="M189"/>
  <c r="D189"/>
  <c r="C189"/>
  <c r="K189" s="1"/>
  <c r="M188"/>
  <c r="D188"/>
  <c r="C188"/>
  <c r="K188" s="1"/>
  <c r="M187"/>
  <c r="D187"/>
  <c r="C187"/>
  <c r="K187" s="1"/>
  <c r="M186"/>
  <c r="D186"/>
  <c r="C186"/>
  <c r="K186" s="1"/>
  <c r="M185"/>
  <c r="D185"/>
  <c r="C185"/>
  <c r="K185" s="1"/>
  <c r="M184"/>
  <c r="D184"/>
  <c r="C184"/>
  <c r="K184" s="1"/>
  <c r="M183"/>
  <c r="D183"/>
  <c r="C183"/>
  <c r="K183" s="1"/>
  <c r="M182"/>
  <c r="D182"/>
  <c r="C182"/>
  <c r="K182" s="1"/>
  <c r="M181"/>
  <c r="D181"/>
  <c r="C181"/>
  <c r="K181" s="1"/>
  <c r="M180"/>
  <c r="D180"/>
  <c r="C180"/>
  <c r="K180" s="1"/>
  <c r="M179"/>
  <c r="D179"/>
  <c r="C179"/>
  <c r="K179" s="1"/>
  <c r="M178"/>
  <c r="D178"/>
  <c r="C178"/>
  <c r="K178" s="1"/>
  <c r="M177"/>
  <c r="D177"/>
  <c r="C177"/>
  <c r="K177" s="1"/>
  <c r="M176"/>
  <c r="D176"/>
  <c r="C176"/>
  <c r="K176" s="1"/>
  <c r="M175"/>
  <c r="D175"/>
  <c r="C175"/>
  <c r="K175" s="1"/>
  <c r="M174"/>
  <c r="D174"/>
  <c r="C174"/>
  <c r="K174" s="1"/>
  <c r="M173"/>
  <c r="D173"/>
  <c r="C173"/>
  <c r="K173" s="1"/>
  <c r="M172"/>
  <c r="L172"/>
  <c r="D172"/>
  <c r="C172"/>
  <c r="K172" s="1"/>
  <c r="M171"/>
  <c r="L171"/>
  <c r="D171"/>
  <c r="C171"/>
  <c r="K171" s="1"/>
  <c r="M170"/>
  <c r="L170"/>
  <c r="D170"/>
  <c r="C170"/>
  <c r="K170" s="1"/>
  <c r="M169"/>
  <c r="L169"/>
  <c r="D169"/>
  <c r="C169"/>
  <c r="K169" s="1"/>
  <c r="M168"/>
  <c r="L168"/>
  <c r="D168"/>
  <c r="C168"/>
  <c r="K168" s="1"/>
  <c r="M167"/>
  <c r="L167"/>
  <c r="D167"/>
  <c r="C167"/>
  <c r="K167" s="1"/>
  <c r="M166"/>
  <c r="L166"/>
  <c r="D166"/>
  <c r="C166"/>
  <c r="K166" s="1"/>
  <c r="M165"/>
  <c r="D165"/>
  <c r="C165"/>
  <c r="K165" s="1"/>
  <c r="M164"/>
  <c r="D164"/>
  <c r="C164"/>
  <c r="K164" s="1"/>
  <c r="M163"/>
  <c r="D163"/>
  <c r="C163"/>
  <c r="K163" s="1"/>
  <c r="M162"/>
  <c r="D162"/>
  <c r="C162"/>
  <c r="K162" s="1"/>
  <c r="M161"/>
  <c r="D161"/>
  <c r="C161"/>
  <c r="K161" s="1"/>
  <c r="M160"/>
  <c r="D160"/>
  <c r="C160"/>
  <c r="K160" s="1"/>
  <c r="M159"/>
  <c r="D159"/>
  <c r="C159"/>
  <c r="K159" s="1"/>
  <c r="M158"/>
  <c r="D158"/>
  <c r="C158"/>
  <c r="K158" s="1"/>
  <c r="M157"/>
  <c r="D157"/>
  <c r="C157"/>
  <c r="K157" s="1"/>
  <c r="M156"/>
  <c r="D156"/>
  <c r="C156"/>
  <c r="L156" s="1"/>
  <c r="M155"/>
  <c r="L155"/>
  <c r="D155"/>
  <c r="C155"/>
  <c r="K155" s="1"/>
  <c r="M154"/>
  <c r="L154"/>
  <c r="D154"/>
  <c r="C154"/>
  <c r="K154" s="1"/>
  <c r="M153"/>
  <c r="L153"/>
  <c r="D153"/>
  <c r="C153"/>
  <c r="K153" s="1"/>
  <c r="M152"/>
  <c r="L152"/>
  <c r="D152"/>
  <c r="C152"/>
  <c r="K152" s="1"/>
  <c r="M151"/>
  <c r="L151"/>
  <c r="D151"/>
  <c r="C151"/>
  <c r="K151" s="1"/>
  <c r="M150"/>
  <c r="L150"/>
  <c r="D150"/>
  <c r="C150"/>
  <c r="K150" s="1"/>
  <c r="M149"/>
  <c r="L149"/>
  <c r="D149"/>
  <c r="C149"/>
  <c r="K149" s="1"/>
  <c r="M148"/>
  <c r="L148"/>
  <c r="D148"/>
  <c r="C148"/>
  <c r="K148" s="1"/>
  <c r="M147"/>
  <c r="D147"/>
  <c r="C147"/>
  <c r="K147" s="1"/>
  <c r="M146"/>
  <c r="D146"/>
  <c r="C146"/>
  <c r="K146" s="1"/>
  <c r="M145"/>
  <c r="D145"/>
  <c r="C145"/>
  <c r="K145" s="1"/>
  <c r="M144"/>
  <c r="D144"/>
  <c r="C144"/>
  <c r="K144" s="1"/>
  <c r="M143"/>
  <c r="D143"/>
  <c r="C143"/>
  <c r="K143" s="1"/>
  <c r="M142"/>
  <c r="D142"/>
  <c r="C142"/>
  <c r="K142" s="1"/>
  <c r="M141"/>
  <c r="D141"/>
  <c r="C141"/>
  <c r="K141" s="1"/>
  <c r="M140"/>
  <c r="D140"/>
  <c r="C140"/>
  <c r="K140" s="1"/>
  <c r="M139"/>
  <c r="D139"/>
  <c r="C139"/>
  <c r="K139" s="1"/>
  <c r="M138"/>
  <c r="D138"/>
  <c r="C138"/>
  <c r="K138" s="1"/>
  <c r="M137"/>
  <c r="D137"/>
  <c r="C137"/>
  <c r="K137" s="1"/>
  <c r="M136"/>
  <c r="D136"/>
  <c r="C136"/>
  <c r="K136" s="1"/>
  <c r="M135"/>
  <c r="D135"/>
  <c r="C135"/>
  <c r="K135" s="1"/>
  <c r="M134"/>
  <c r="D134"/>
  <c r="C134"/>
  <c r="K134" s="1"/>
  <c r="M133"/>
  <c r="K133"/>
  <c r="D133"/>
  <c r="C133"/>
  <c r="L133" s="1"/>
  <c r="M132"/>
  <c r="L132"/>
  <c r="D132"/>
  <c r="C132"/>
  <c r="K132" s="1"/>
  <c r="M131"/>
  <c r="D131"/>
  <c r="C131"/>
  <c r="K131" s="1"/>
  <c r="M130"/>
  <c r="D130"/>
  <c r="C130"/>
  <c r="K130" s="1"/>
  <c r="M129"/>
  <c r="D129"/>
  <c r="C129"/>
  <c r="K129" s="1"/>
  <c r="M128"/>
  <c r="D128"/>
  <c r="C128"/>
  <c r="K128" s="1"/>
  <c r="M127"/>
  <c r="D127"/>
  <c r="C127"/>
  <c r="K127" s="1"/>
  <c r="M126"/>
  <c r="D126"/>
  <c r="C126"/>
  <c r="K126" s="1"/>
  <c r="M125"/>
  <c r="D125"/>
  <c r="C125"/>
  <c r="K125" s="1"/>
  <c r="M124"/>
  <c r="D124"/>
  <c r="C124"/>
  <c r="K124" s="1"/>
  <c r="M123"/>
  <c r="D123"/>
  <c r="C123"/>
  <c r="K123" s="1"/>
  <c r="M122"/>
  <c r="D122"/>
  <c r="C122"/>
  <c r="K122" s="1"/>
  <c r="M121"/>
  <c r="D121"/>
  <c r="C121"/>
  <c r="K121" s="1"/>
  <c r="M120"/>
  <c r="D120"/>
  <c r="C120"/>
  <c r="K120" s="1"/>
  <c r="M119"/>
  <c r="D119"/>
  <c r="C119"/>
  <c r="K119" s="1"/>
  <c r="M118"/>
  <c r="D118"/>
  <c r="C118"/>
  <c r="K118" s="1"/>
  <c r="M117"/>
  <c r="D117"/>
  <c r="C117"/>
  <c r="K117" s="1"/>
  <c r="M116"/>
  <c r="D116"/>
  <c r="C116"/>
  <c r="K116" s="1"/>
  <c r="M115"/>
  <c r="D115"/>
  <c r="C115"/>
  <c r="K115" s="1"/>
  <c r="M114"/>
  <c r="D114"/>
  <c r="C114"/>
  <c r="K114" s="1"/>
  <c r="M113"/>
  <c r="D113"/>
  <c r="C113"/>
  <c r="K113" s="1"/>
  <c r="M112"/>
  <c r="D112"/>
  <c r="C112"/>
  <c r="K112" s="1"/>
  <c r="M111"/>
  <c r="D111"/>
  <c r="C111"/>
  <c r="K111" s="1"/>
  <c r="M110"/>
  <c r="D110"/>
  <c r="C110"/>
  <c r="K110" s="1"/>
  <c r="M109"/>
  <c r="D109"/>
  <c r="C109"/>
  <c r="K109" s="1"/>
  <c r="M108"/>
  <c r="L108"/>
  <c r="D108"/>
  <c r="C108"/>
  <c r="K108" s="1"/>
  <c r="M107"/>
  <c r="L107"/>
  <c r="D107"/>
  <c r="C107"/>
  <c r="K107" s="1"/>
  <c r="M106"/>
  <c r="L106"/>
  <c r="D106"/>
  <c r="C106"/>
  <c r="K106" s="1"/>
  <c r="M105"/>
  <c r="L105"/>
  <c r="D105"/>
  <c r="C105"/>
  <c r="K105" s="1"/>
  <c r="M104"/>
  <c r="L104"/>
  <c r="D104"/>
  <c r="C104"/>
  <c r="K104" s="1"/>
  <c r="M103"/>
  <c r="L103"/>
  <c r="D103"/>
  <c r="C103"/>
  <c r="K103" s="1"/>
  <c r="M102"/>
  <c r="L102"/>
  <c r="D102"/>
  <c r="C102"/>
  <c r="K102" s="1"/>
  <c r="M101"/>
  <c r="D101"/>
  <c r="C101"/>
  <c r="K101" s="1"/>
  <c r="M100"/>
  <c r="D100"/>
  <c r="C100"/>
  <c r="K100" s="1"/>
  <c r="M99"/>
  <c r="D99"/>
  <c r="C99"/>
  <c r="K99" s="1"/>
  <c r="M98"/>
  <c r="D98"/>
  <c r="C98"/>
  <c r="K98" s="1"/>
  <c r="M97"/>
  <c r="D97"/>
  <c r="C97"/>
  <c r="K97" s="1"/>
  <c r="M96"/>
  <c r="D96"/>
  <c r="C96"/>
  <c r="K96" s="1"/>
  <c r="M95"/>
  <c r="D95"/>
  <c r="C95"/>
  <c r="K95" s="1"/>
  <c r="M94"/>
  <c r="D94"/>
  <c r="C94"/>
  <c r="K94" s="1"/>
  <c r="M93"/>
  <c r="D93"/>
  <c r="C93"/>
  <c r="K93" s="1"/>
  <c r="M92"/>
  <c r="D92"/>
  <c r="C92"/>
  <c r="L92" s="1"/>
  <c r="M91"/>
  <c r="L91"/>
  <c r="D91"/>
  <c r="C91"/>
  <c r="K91" s="1"/>
  <c r="M90"/>
  <c r="L90"/>
  <c r="D90"/>
  <c r="C90"/>
  <c r="K90" s="1"/>
  <c r="M89"/>
  <c r="L89"/>
  <c r="D89"/>
  <c r="C89"/>
  <c r="K89" s="1"/>
  <c r="M88"/>
  <c r="L88"/>
  <c r="D88"/>
  <c r="C88"/>
  <c r="K88" s="1"/>
  <c r="M87"/>
  <c r="L87"/>
  <c r="D87"/>
  <c r="C87"/>
  <c r="K87" s="1"/>
  <c r="M86"/>
  <c r="L86"/>
  <c r="D86"/>
  <c r="C86"/>
  <c r="K86" s="1"/>
  <c r="M85"/>
  <c r="L85"/>
  <c r="D85"/>
  <c r="C85"/>
  <c r="K85" s="1"/>
  <c r="M84"/>
  <c r="L84"/>
  <c r="D84"/>
  <c r="C84"/>
  <c r="K84" s="1"/>
  <c r="M83"/>
  <c r="D83"/>
  <c r="C83"/>
  <c r="K83" s="1"/>
  <c r="M82"/>
  <c r="D82"/>
  <c r="C82"/>
  <c r="K82" s="1"/>
  <c r="M81"/>
  <c r="D81"/>
  <c r="C81"/>
  <c r="K81" s="1"/>
  <c r="M80"/>
  <c r="D80"/>
  <c r="C80"/>
  <c r="K80" s="1"/>
  <c r="M79"/>
  <c r="D79"/>
  <c r="C79"/>
  <c r="K79" s="1"/>
  <c r="M78"/>
  <c r="D78"/>
  <c r="C78"/>
  <c r="K78" s="1"/>
  <c r="M77"/>
  <c r="D77"/>
  <c r="C77"/>
  <c r="K77" s="1"/>
  <c r="M76"/>
  <c r="D76"/>
  <c r="C76"/>
  <c r="K76" s="1"/>
  <c r="M75"/>
  <c r="D75"/>
  <c r="C75"/>
  <c r="K75" s="1"/>
  <c r="M74"/>
  <c r="D74"/>
  <c r="C74"/>
  <c r="K74" s="1"/>
  <c r="M73"/>
  <c r="D73"/>
  <c r="C73"/>
  <c r="K73" s="1"/>
  <c r="M72"/>
  <c r="D72"/>
  <c r="C72"/>
  <c r="K72" s="1"/>
  <c r="M71"/>
  <c r="D71"/>
  <c r="C71"/>
  <c r="K71" s="1"/>
  <c r="M70"/>
  <c r="D70"/>
  <c r="C70"/>
  <c r="K70" s="1"/>
  <c r="M69"/>
  <c r="K69"/>
  <c r="D69"/>
  <c r="C69"/>
  <c r="L69" s="1"/>
  <c r="M68"/>
  <c r="L68"/>
  <c r="D68"/>
  <c r="C68"/>
  <c r="K68" s="1"/>
  <c r="M67"/>
  <c r="D67"/>
  <c r="C67"/>
  <c r="K67" s="1"/>
  <c r="M66"/>
  <c r="D66"/>
  <c r="C66"/>
  <c r="K66" s="1"/>
  <c r="M65"/>
  <c r="D65"/>
  <c r="C65"/>
  <c r="K65" s="1"/>
  <c r="M64"/>
  <c r="D64"/>
  <c r="C64"/>
  <c r="K64" s="1"/>
  <c r="M63"/>
  <c r="D63"/>
  <c r="C63"/>
  <c r="K63" s="1"/>
  <c r="M62"/>
  <c r="D62"/>
  <c r="C62"/>
  <c r="K62" s="1"/>
  <c r="M61"/>
  <c r="D61"/>
  <c r="C61"/>
  <c r="K61" s="1"/>
  <c r="M60"/>
  <c r="D60"/>
  <c r="C60"/>
  <c r="K60" s="1"/>
  <c r="M59"/>
  <c r="D59"/>
  <c r="C59"/>
  <c r="K59" s="1"/>
  <c r="M58"/>
  <c r="D58"/>
  <c r="C58"/>
  <c r="K58" s="1"/>
  <c r="M57"/>
  <c r="D57"/>
  <c r="C57"/>
  <c r="K57" s="1"/>
  <c r="M56"/>
  <c r="D56"/>
  <c r="C56"/>
  <c r="K56" s="1"/>
  <c r="M55"/>
  <c r="D55"/>
  <c r="C55"/>
  <c r="K55" s="1"/>
  <c r="M54"/>
  <c r="D54"/>
  <c r="C54"/>
  <c r="K54" s="1"/>
  <c r="M53"/>
  <c r="D53"/>
  <c r="C53"/>
  <c r="K53" s="1"/>
  <c r="M52"/>
  <c r="D52"/>
  <c r="C52"/>
  <c r="K52" s="1"/>
  <c r="M51"/>
  <c r="D51"/>
  <c r="C51"/>
  <c r="K51" s="1"/>
  <c r="M50"/>
  <c r="D50"/>
  <c r="C50"/>
  <c r="K50" s="1"/>
  <c r="M49"/>
  <c r="D49"/>
  <c r="C49"/>
  <c r="K49" s="1"/>
  <c r="M48"/>
  <c r="D48"/>
  <c r="C48"/>
  <c r="K48" s="1"/>
  <c r="M47"/>
  <c r="D47"/>
  <c r="C47"/>
  <c r="K47" s="1"/>
  <c r="M46"/>
  <c r="D46"/>
  <c r="C46"/>
  <c r="K46" s="1"/>
  <c r="M45"/>
  <c r="D45"/>
  <c r="C45"/>
  <c r="K45" s="1"/>
  <c r="M44"/>
  <c r="L44"/>
  <c r="D44"/>
  <c r="C44"/>
  <c r="K44" s="1"/>
  <c r="M43"/>
  <c r="L43"/>
  <c r="D43"/>
  <c r="C43"/>
  <c r="K43" s="1"/>
  <c r="M42"/>
  <c r="L42"/>
  <c r="D42"/>
  <c r="C42"/>
  <c r="K42" s="1"/>
  <c r="M41"/>
  <c r="L41"/>
  <c r="D41"/>
  <c r="C41"/>
  <c r="K41" s="1"/>
  <c r="M40"/>
  <c r="L40"/>
  <c r="D40"/>
  <c r="C40"/>
  <c r="K40" s="1"/>
  <c r="M39"/>
  <c r="L39"/>
  <c r="D39"/>
  <c r="C39"/>
  <c r="K39" s="1"/>
  <c r="M38"/>
  <c r="L38"/>
  <c r="D38"/>
  <c r="C38"/>
  <c r="K38" s="1"/>
  <c r="M37"/>
  <c r="D37"/>
  <c r="C37"/>
  <c r="K37" s="1"/>
  <c r="M36"/>
  <c r="D36"/>
  <c r="C36"/>
  <c r="K36" s="1"/>
  <c r="M35"/>
  <c r="D35"/>
  <c r="C35"/>
  <c r="K35" s="1"/>
  <c r="M34"/>
  <c r="D34"/>
  <c r="C34"/>
  <c r="K34" s="1"/>
  <c r="M33"/>
  <c r="D33"/>
  <c r="C33"/>
  <c r="K33" s="1"/>
  <c r="M32"/>
  <c r="D32"/>
  <c r="C32"/>
  <c r="K32" s="1"/>
  <c r="M31"/>
  <c r="D31"/>
  <c r="C31"/>
  <c r="K31" s="1"/>
  <c r="M30"/>
  <c r="D30"/>
  <c r="C30"/>
  <c r="K30" s="1"/>
  <c r="M29"/>
  <c r="D29"/>
  <c r="C29"/>
  <c r="K29" s="1"/>
  <c r="M28"/>
  <c r="D28"/>
  <c r="C28"/>
  <c r="L28" s="1"/>
  <c r="M27"/>
  <c r="D27"/>
  <c r="C27"/>
  <c r="K27" s="1"/>
  <c r="M26"/>
  <c r="D26"/>
  <c r="C26"/>
  <c r="K26" s="1"/>
  <c r="M25"/>
  <c r="D25"/>
  <c r="C25"/>
  <c r="K25" s="1"/>
  <c r="M24"/>
  <c r="D24"/>
  <c r="C24"/>
  <c r="K24" s="1"/>
  <c r="M23"/>
  <c r="D23"/>
  <c r="C23"/>
  <c r="K23" s="1"/>
  <c r="M22"/>
  <c r="D22"/>
  <c r="C22"/>
  <c r="K22" s="1"/>
  <c r="M21"/>
  <c r="D21"/>
  <c r="C21"/>
  <c r="L21" s="1"/>
  <c r="M20"/>
  <c r="L20"/>
  <c r="D20"/>
  <c r="C20"/>
  <c r="K20" s="1"/>
  <c r="M19"/>
  <c r="D19"/>
  <c r="C19"/>
  <c r="K19" s="1"/>
  <c r="M18"/>
  <c r="D18"/>
  <c r="C18"/>
  <c r="K18" s="1"/>
  <c r="M17"/>
  <c r="D17"/>
  <c r="C17"/>
  <c r="K17" s="1"/>
  <c r="M16"/>
  <c r="D16"/>
  <c r="C16"/>
  <c r="K16" s="1"/>
  <c r="M15"/>
  <c r="D15"/>
  <c r="C15"/>
  <c r="K15" s="1"/>
  <c r="M14"/>
  <c r="D14"/>
  <c r="C14"/>
  <c r="K14" s="1"/>
  <c r="M13"/>
  <c r="D13"/>
  <c r="C13"/>
  <c r="K13" s="1"/>
  <c r="M12"/>
  <c r="K12"/>
  <c r="D12"/>
  <c r="C12"/>
  <c r="L12" s="1"/>
  <c r="M11"/>
  <c r="L11"/>
  <c r="D11"/>
  <c r="C11"/>
  <c r="K11" s="1"/>
  <c r="M10"/>
  <c r="L10"/>
  <c r="D10"/>
  <c r="C10"/>
  <c r="K10" s="1"/>
  <c r="M9"/>
  <c r="L9"/>
  <c r="D9"/>
  <c r="C9"/>
  <c r="K9" s="1"/>
  <c r="M8"/>
  <c r="L8"/>
  <c r="D8"/>
  <c r="C8"/>
  <c r="K8" s="1"/>
  <c r="M7"/>
  <c r="L7"/>
  <c r="D7"/>
  <c r="C7"/>
  <c r="K7" s="1"/>
  <c r="M6"/>
  <c r="L6"/>
  <c r="D6"/>
  <c r="C6"/>
  <c r="K6" s="1"/>
  <c r="M5"/>
  <c r="D5"/>
  <c r="C5"/>
  <c r="K5" s="1"/>
  <c r="M4"/>
  <c r="D4"/>
  <c r="C4"/>
  <c r="K4" s="1"/>
  <c r="M3"/>
  <c r="D3"/>
  <c r="C3"/>
  <c r="K3" s="1"/>
  <c r="M2"/>
  <c r="D2"/>
  <c r="C2"/>
  <c r="K2" s="1"/>
  <c r="K11" i="1"/>
  <c r="K562" i="2" l="1"/>
  <c r="K642"/>
  <c r="K830"/>
  <c r="K92"/>
  <c r="K156"/>
  <c r="K416"/>
  <c r="K497"/>
  <c r="K821"/>
  <c r="K21"/>
  <c r="K228"/>
  <c r="K351"/>
  <c r="K674"/>
  <c r="K742"/>
  <c r="K798"/>
  <c r="K862"/>
  <c r="L5"/>
  <c r="L60"/>
  <c r="L124"/>
  <c r="L165"/>
  <c r="L188"/>
  <c r="L212"/>
  <c r="L244"/>
  <c r="L287"/>
  <c r="L304"/>
  <c r="L336"/>
  <c r="L383"/>
  <c r="L401"/>
  <c r="L448"/>
  <c r="L465"/>
  <c r="L512"/>
  <c r="L530"/>
  <c r="L577"/>
  <c r="L101"/>
  <c r="L36"/>
  <c r="L53"/>
  <c r="L55"/>
  <c r="L57"/>
  <c r="L59"/>
  <c r="L100"/>
  <c r="L117"/>
  <c r="L119"/>
  <c r="L121"/>
  <c r="L123"/>
  <c r="L140"/>
  <c r="L183"/>
  <c r="L186"/>
  <c r="L209"/>
  <c r="L241"/>
  <c r="L243"/>
  <c r="L273"/>
  <c r="L275"/>
  <c r="L277"/>
  <c r="K279"/>
  <c r="L281"/>
  <c r="L283"/>
  <c r="L376"/>
  <c r="L377"/>
  <c r="L378"/>
  <c r="L379"/>
  <c r="L380"/>
  <c r="L381"/>
  <c r="L382"/>
  <c r="L441"/>
  <c r="L442"/>
  <c r="L443"/>
  <c r="L444"/>
  <c r="L445"/>
  <c r="L446"/>
  <c r="L447"/>
  <c r="L505"/>
  <c r="L506"/>
  <c r="L507"/>
  <c r="L508"/>
  <c r="L509"/>
  <c r="L510"/>
  <c r="L511"/>
  <c r="L570"/>
  <c r="L571"/>
  <c r="L572"/>
  <c r="L573"/>
  <c r="L574"/>
  <c r="L575"/>
  <c r="L576"/>
  <c r="K594"/>
  <c r="K626"/>
  <c r="L657"/>
  <c r="K658"/>
  <c r="L689"/>
  <c r="K690"/>
  <c r="L721"/>
  <c r="K722"/>
  <c r="L753"/>
  <c r="L754"/>
  <c r="L755"/>
  <c r="L756"/>
  <c r="L757"/>
  <c r="K758"/>
  <c r="L785"/>
  <c r="L786"/>
  <c r="L787"/>
  <c r="L788"/>
  <c r="L789"/>
  <c r="K790"/>
  <c r="L813"/>
  <c r="L845"/>
  <c r="L893"/>
  <c r="L894"/>
  <c r="L895"/>
  <c r="L896"/>
  <c r="L897"/>
  <c r="L898"/>
  <c r="L899"/>
  <c r="L900"/>
  <c r="K901"/>
  <c r="L918"/>
  <c r="L919"/>
  <c r="L920"/>
  <c r="L921"/>
  <c r="L922"/>
  <c r="L923"/>
  <c r="L924"/>
  <c r="L965"/>
  <c r="L37"/>
  <c r="L54"/>
  <c r="L56"/>
  <c r="L58"/>
  <c r="L76"/>
  <c r="L118"/>
  <c r="L120"/>
  <c r="L122"/>
  <c r="L164"/>
  <c r="L184"/>
  <c r="L185"/>
  <c r="L187"/>
  <c r="L208"/>
  <c r="L210"/>
  <c r="L211"/>
  <c r="L240"/>
  <c r="L242"/>
  <c r="L272"/>
  <c r="L274"/>
  <c r="L276"/>
  <c r="L278"/>
  <c r="L280"/>
  <c r="L282"/>
  <c r="L284"/>
  <c r="L285"/>
  <c r="L286"/>
  <c r="L22"/>
  <c r="L23"/>
  <c r="L24"/>
  <c r="L25"/>
  <c r="L26"/>
  <c r="L27"/>
  <c r="K28"/>
  <c r="L52"/>
  <c r="L70"/>
  <c r="L71"/>
  <c r="L72"/>
  <c r="L73"/>
  <c r="L74"/>
  <c r="L75"/>
  <c r="L116"/>
  <c r="L134"/>
  <c r="L135"/>
  <c r="L136"/>
  <c r="L137"/>
  <c r="L138"/>
  <c r="L139"/>
  <c r="L180"/>
  <c r="L181"/>
  <c r="L182"/>
  <c r="L197"/>
  <c r="L198"/>
  <c r="K199"/>
  <c r="L204"/>
  <c r="L205"/>
  <c r="L206"/>
  <c r="L229"/>
  <c r="L230"/>
  <c r="K231"/>
  <c r="L236"/>
  <c r="L237"/>
  <c r="L238"/>
  <c r="L263"/>
  <c r="L264"/>
  <c r="L265"/>
  <c r="L266"/>
  <c r="L267"/>
  <c r="L268"/>
  <c r="L269"/>
  <c r="L270"/>
  <c r="L296"/>
  <c r="L297"/>
  <c r="L298"/>
  <c r="L299"/>
  <c r="L300"/>
  <c r="L301"/>
  <c r="L302"/>
  <c r="L329"/>
  <c r="L330"/>
  <c r="L331"/>
  <c r="L332"/>
  <c r="L333"/>
  <c r="L334"/>
  <c r="L392"/>
  <c r="L393"/>
  <c r="L394"/>
  <c r="L395"/>
  <c r="L396"/>
  <c r="L397"/>
  <c r="L398"/>
  <c r="L399"/>
  <c r="L457"/>
  <c r="L458"/>
  <c r="L459"/>
  <c r="L460"/>
  <c r="L461"/>
  <c r="L462"/>
  <c r="L463"/>
  <c r="L521"/>
  <c r="L522"/>
  <c r="L523"/>
  <c r="L524"/>
  <c r="L525"/>
  <c r="L526"/>
  <c r="L527"/>
  <c r="L528"/>
  <c r="L586"/>
  <c r="L587"/>
  <c r="L588"/>
  <c r="L589"/>
  <c r="L590"/>
  <c r="L591"/>
  <c r="L592"/>
  <c r="L618"/>
  <c r="L619"/>
  <c r="L620"/>
  <c r="L621"/>
  <c r="L622"/>
  <c r="L623"/>
  <c r="L624"/>
  <c r="L650"/>
  <c r="L651"/>
  <c r="L652"/>
  <c r="L653"/>
  <c r="L654"/>
  <c r="L655"/>
  <c r="L656"/>
  <c r="L682"/>
  <c r="L683"/>
  <c r="L684"/>
  <c r="L685"/>
  <c r="L686"/>
  <c r="L687"/>
  <c r="L688"/>
  <c r="L714"/>
  <c r="L715"/>
  <c r="L716"/>
  <c r="L717"/>
  <c r="L718"/>
  <c r="L719"/>
  <c r="L720"/>
  <c r="L750"/>
  <c r="L751"/>
  <c r="L752"/>
  <c r="L782"/>
  <c r="L783"/>
  <c r="L784"/>
  <c r="L799"/>
  <c r="L800"/>
  <c r="L801"/>
  <c r="L802"/>
  <c r="L803"/>
  <c r="L804"/>
  <c r="K805"/>
  <c r="L831"/>
  <c r="L832"/>
  <c r="L833"/>
  <c r="L834"/>
  <c r="L835"/>
  <c r="L836"/>
  <c r="K837"/>
  <c r="L863"/>
  <c r="L864"/>
  <c r="L865"/>
  <c r="L866"/>
  <c r="L867"/>
  <c r="L868"/>
  <c r="K869"/>
  <c r="K878"/>
  <c r="L887"/>
  <c r="L888"/>
  <c r="L889"/>
  <c r="L890"/>
  <c r="L891"/>
  <c r="L892"/>
  <c r="L958"/>
  <c r="L959"/>
  <c r="L960"/>
  <c r="L961"/>
  <c r="L962"/>
  <c r="L963"/>
  <c r="L964"/>
  <c r="K234"/>
  <c r="L234"/>
  <c r="K248"/>
  <c r="L248"/>
  <c r="K294"/>
  <c r="L294"/>
  <c r="K309"/>
  <c r="L309"/>
  <c r="K324"/>
  <c r="L324"/>
  <c r="K339"/>
  <c r="L339"/>
  <c r="K358"/>
  <c r="L358"/>
  <c r="K404"/>
  <c r="L404"/>
  <c r="K408"/>
  <c r="L408"/>
  <c r="K419"/>
  <c r="L419"/>
  <c r="K423"/>
  <c r="L423"/>
  <c r="K434"/>
  <c r="L434"/>
  <c r="K438"/>
  <c r="L438"/>
  <c r="K453"/>
  <c r="L453"/>
  <c r="K472"/>
  <c r="L472"/>
  <c r="K483"/>
  <c r="L483"/>
  <c r="K487"/>
  <c r="L487"/>
  <c r="K537"/>
  <c r="L537"/>
  <c r="K548"/>
  <c r="L548"/>
  <c r="K552"/>
  <c r="L552"/>
  <c r="K563"/>
  <c r="L563"/>
  <c r="K567"/>
  <c r="L567"/>
  <c r="K202"/>
  <c r="L202"/>
  <c r="K216"/>
  <c r="L216"/>
  <c r="K343"/>
  <c r="L343"/>
  <c r="K369"/>
  <c r="L369"/>
  <c r="K373"/>
  <c r="L373"/>
  <c r="K388"/>
  <c r="L388"/>
  <c r="K533"/>
  <c r="J66" i="3" s="1"/>
  <c r="L533" i="2"/>
  <c r="K582"/>
  <c r="L582"/>
  <c r="K596"/>
  <c r="L596"/>
  <c r="K600"/>
  <c r="L600"/>
  <c r="K646"/>
  <c r="L646"/>
  <c r="K692"/>
  <c r="L692"/>
  <c r="K696"/>
  <c r="L696"/>
  <c r="K710"/>
  <c r="L710"/>
  <c r="K728"/>
  <c r="L728"/>
  <c r="K203"/>
  <c r="L203"/>
  <c r="K217"/>
  <c r="L217"/>
  <c r="K235"/>
  <c r="L235"/>
  <c r="K249"/>
  <c r="I47" i="3" s="1"/>
  <c r="K47" s="1"/>
  <c r="L249" i="2"/>
  <c r="K253"/>
  <c r="L253"/>
  <c r="K295"/>
  <c r="L295"/>
  <c r="K306"/>
  <c r="L306"/>
  <c r="K310"/>
  <c r="L310"/>
  <c r="K321"/>
  <c r="L321"/>
  <c r="K325"/>
  <c r="L325"/>
  <c r="K340"/>
  <c r="L340"/>
  <c r="K355"/>
  <c r="L355"/>
  <c r="K359"/>
  <c r="L359"/>
  <c r="K370"/>
  <c r="L370"/>
  <c r="K374"/>
  <c r="L374"/>
  <c r="K385"/>
  <c r="L385"/>
  <c r="K389"/>
  <c r="L389"/>
  <c r="K405"/>
  <c r="L405"/>
  <c r="K420"/>
  <c r="L420"/>
  <c r="K424"/>
  <c r="L424"/>
  <c r="K435"/>
  <c r="L435"/>
  <c r="K439"/>
  <c r="L439"/>
  <c r="K450"/>
  <c r="L450"/>
  <c r="K454"/>
  <c r="L454"/>
  <c r="K469"/>
  <c r="L469"/>
  <c r="K484"/>
  <c r="L484"/>
  <c r="K488"/>
  <c r="L488"/>
  <c r="K499"/>
  <c r="L499"/>
  <c r="K503"/>
  <c r="L503"/>
  <c r="K514"/>
  <c r="L514"/>
  <c r="K518"/>
  <c r="L518"/>
  <c r="K534"/>
  <c r="L534"/>
  <c r="K549"/>
  <c r="L549"/>
  <c r="K553"/>
  <c r="L553"/>
  <c r="K564"/>
  <c r="L564"/>
  <c r="K568"/>
  <c r="L568"/>
  <c r="K579"/>
  <c r="L579"/>
  <c r="K583"/>
  <c r="L583"/>
  <c r="K597"/>
  <c r="L597"/>
  <c r="K601"/>
  <c r="I59" i="3" s="1"/>
  <c r="K59" s="1"/>
  <c r="L601" i="2"/>
  <c r="K611"/>
  <c r="L611"/>
  <c r="K615"/>
  <c r="L615"/>
  <c r="K629"/>
  <c r="L629"/>
  <c r="K633"/>
  <c r="L633"/>
  <c r="K643"/>
  <c r="L643"/>
  <c r="K647"/>
  <c r="L647"/>
  <c r="K661"/>
  <c r="L661"/>
  <c r="K665"/>
  <c r="L665"/>
  <c r="K675"/>
  <c r="L675"/>
  <c r="K679"/>
  <c r="L679"/>
  <c r="K693"/>
  <c r="L693"/>
  <c r="K697"/>
  <c r="L697"/>
  <c r="K707"/>
  <c r="L707"/>
  <c r="K711"/>
  <c r="L711"/>
  <c r="K725"/>
  <c r="L725"/>
  <c r="K729"/>
  <c r="L729"/>
  <c r="K743"/>
  <c r="L743"/>
  <c r="K761"/>
  <c r="L761"/>
  <c r="L4"/>
  <c r="L3"/>
  <c r="L13"/>
  <c r="L14"/>
  <c r="L15"/>
  <c r="L16"/>
  <c r="L17"/>
  <c r="L18"/>
  <c r="L19"/>
  <c r="L29"/>
  <c r="L30"/>
  <c r="L31"/>
  <c r="L32"/>
  <c r="L33"/>
  <c r="L34"/>
  <c r="L35"/>
  <c r="L45"/>
  <c r="L46"/>
  <c r="L47"/>
  <c r="L48"/>
  <c r="L49"/>
  <c r="L50"/>
  <c r="L51"/>
  <c r="L61"/>
  <c r="L62"/>
  <c r="L63"/>
  <c r="L64"/>
  <c r="L65"/>
  <c r="L66"/>
  <c r="L67"/>
  <c r="L77"/>
  <c r="L78"/>
  <c r="L79"/>
  <c r="L80"/>
  <c r="L81"/>
  <c r="L82"/>
  <c r="L83"/>
  <c r="L93"/>
  <c r="L94"/>
  <c r="L95"/>
  <c r="L96"/>
  <c r="L97"/>
  <c r="L98"/>
  <c r="L99"/>
  <c r="L109"/>
  <c r="L110"/>
  <c r="L111"/>
  <c r="L112"/>
  <c r="L113"/>
  <c r="L114"/>
  <c r="L115"/>
  <c r="L125"/>
  <c r="L126"/>
  <c r="L127"/>
  <c r="L128"/>
  <c r="L129"/>
  <c r="L130"/>
  <c r="L131"/>
  <c r="L141"/>
  <c r="L142"/>
  <c r="L143"/>
  <c r="L144"/>
  <c r="L145"/>
  <c r="L146"/>
  <c r="L147"/>
  <c r="L157"/>
  <c r="L158"/>
  <c r="L159"/>
  <c r="L160"/>
  <c r="L161"/>
  <c r="L162"/>
  <c r="L163"/>
  <c r="L175"/>
  <c r="L176"/>
  <c r="L177"/>
  <c r="L178"/>
  <c r="L179"/>
  <c r="L191"/>
  <c r="L223"/>
  <c r="L255"/>
  <c r="L256"/>
  <c r="L257"/>
  <c r="L258"/>
  <c r="L259"/>
  <c r="L260"/>
  <c r="L261"/>
  <c r="L262"/>
  <c r="L289"/>
  <c r="L290"/>
  <c r="L291"/>
  <c r="L292"/>
  <c r="L312"/>
  <c r="K252"/>
  <c r="L252"/>
  <c r="K305"/>
  <c r="L305"/>
  <c r="K354"/>
  <c r="L354"/>
  <c r="K468"/>
  <c r="L468"/>
  <c r="K498"/>
  <c r="L498"/>
  <c r="K502"/>
  <c r="L502"/>
  <c r="K517"/>
  <c r="L517"/>
  <c r="K614"/>
  <c r="I64" i="3" s="1"/>
  <c r="K64" s="1"/>
  <c r="L614" i="2"/>
  <c r="K628"/>
  <c r="L628"/>
  <c r="K632"/>
  <c r="I56" i="3" s="1"/>
  <c r="K56" s="1"/>
  <c r="L632" i="2"/>
  <c r="K660"/>
  <c r="L660"/>
  <c r="K664"/>
  <c r="J69" i="3" s="1"/>
  <c r="L664" i="2"/>
  <c r="K678"/>
  <c r="L678"/>
  <c r="K724"/>
  <c r="J33" i="3" s="1"/>
  <c r="L724" i="2"/>
  <c r="K760"/>
  <c r="L760"/>
  <c r="K200"/>
  <c r="L200"/>
  <c r="K218"/>
  <c r="L218"/>
  <c r="K232"/>
  <c r="I29" i="3" s="1"/>
  <c r="K29" s="1"/>
  <c r="L232" i="2"/>
  <c r="K250"/>
  <c r="L250"/>
  <c r="K254"/>
  <c r="L254"/>
  <c r="K307"/>
  <c r="L307"/>
  <c r="K311"/>
  <c r="J76" i="3" s="1"/>
  <c r="L311" i="2"/>
  <c r="K322"/>
  <c r="L322"/>
  <c r="K326"/>
  <c r="L326"/>
  <c r="K337"/>
  <c r="L337"/>
  <c r="K341"/>
  <c r="L341"/>
  <c r="K356"/>
  <c r="L356"/>
  <c r="K371"/>
  <c r="L371"/>
  <c r="K375"/>
  <c r="L375"/>
  <c r="K386"/>
  <c r="L386"/>
  <c r="K390"/>
  <c r="L390"/>
  <c r="K402"/>
  <c r="J49" i="3" s="1"/>
  <c r="L402" i="2"/>
  <c r="K406"/>
  <c r="L406"/>
  <c r="K421"/>
  <c r="L421"/>
  <c r="K436"/>
  <c r="I51" i="3" s="1"/>
  <c r="K51" s="1"/>
  <c r="L436" i="2"/>
  <c r="K440"/>
  <c r="J44" i="3" s="1"/>
  <c r="L440" i="2"/>
  <c r="K451"/>
  <c r="L451"/>
  <c r="K455"/>
  <c r="L455"/>
  <c r="K466"/>
  <c r="L466"/>
  <c r="K470"/>
  <c r="I50" i="3" s="1"/>
  <c r="K50" s="1"/>
  <c r="L470" i="2"/>
  <c r="K485"/>
  <c r="L485"/>
  <c r="K500"/>
  <c r="I58" i="3" s="1"/>
  <c r="K58" s="1"/>
  <c r="L500" i="2"/>
  <c r="K504"/>
  <c r="L504"/>
  <c r="K515"/>
  <c r="J61" i="3" s="1"/>
  <c r="L515" i="2"/>
  <c r="K519"/>
  <c r="L519"/>
  <c r="K531"/>
  <c r="L531"/>
  <c r="K535"/>
  <c r="J38" i="3" s="1"/>
  <c r="L535" i="2"/>
  <c r="K550"/>
  <c r="J70" i="3" s="1"/>
  <c r="L550" i="2"/>
  <c r="K565"/>
  <c r="L565"/>
  <c r="K569"/>
  <c r="I40" i="3" s="1"/>
  <c r="K40" s="1"/>
  <c r="L569" i="2"/>
  <c r="K580"/>
  <c r="L580"/>
  <c r="K584"/>
  <c r="J48" i="3" s="1"/>
  <c r="L584" i="2"/>
  <c r="K598"/>
  <c r="J79" i="3" s="1"/>
  <c r="L598" i="2"/>
  <c r="K612"/>
  <c r="I53" i="3" s="1"/>
  <c r="K53" s="1"/>
  <c r="L612" i="2"/>
  <c r="K616"/>
  <c r="L616"/>
  <c r="K630"/>
  <c r="B28" i="3" s="1"/>
  <c r="L630" i="2"/>
  <c r="K644"/>
  <c r="L644"/>
  <c r="K648"/>
  <c r="L648"/>
  <c r="K662"/>
  <c r="L662"/>
  <c r="K676"/>
  <c r="I41" i="3" s="1"/>
  <c r="K41" s="1"/>
  <c r="L676" i="2"/>
  <c r="K680"/>
  <c r="L680"/>
  <c r="K694"/>
  <c r="L694"/>
  <c r="K708"/>
  <c r="L708"/>
  <c r="K712"/>
  <c r="I62" i="3" s="1"/>
  <c r="K62" s="1"/>
  <c r="L712" i="2"/>
  <c r="K726"/>
  <c r="L726"/>
  <c r="K744"/>
  <c r="J80" i="3" s="1"/>
  <c r="L744" i="2"/>
  <c r="L2"/>
  <c r="L173"/>
  <c r="L174"/>
  <c r="L189"/>
  <c r="L190"/>
  <c r="L213"/>
  <c r="L214"/>
  <c r="K215"/>
  <c r="L220"/>
  <c r="L221"/>
  <c r="L222"/>
  <c r="L245"/>
  <c r="L246"/>
  <c r="K247"/>
  <c r="L328"/>
  <c r="K201"/>
  <c r="L201"/>
  <c r="K219"/>
  <c r="L219"/>
  <c r="K233"/>
  <c r="L233"/>
  <c r="K251"/>
  <c r="L251"/>
  <c r="K293"/>
  <c r="L293"/>
  <c r="K308"/>
  <c r="L308"/>
  <c r="K323"/>
  <c r="L323"/>
  <c r="K327"/>
  <c r="L327"/>
  <c r="K338"/>
  <c r="L338"/>
  <c r="K342"/>
  <c r="L342"/>
  <c r="K353"/>
  <c r="L353"/>
  <c r="K357"/>
  <c r="L357"/>
  <c r="K372"/>
  <c r="L372"/>
  <c r="K387"/>
  <c r="L387"/>
  <c r="K391"/>
  <c r="L391"/>
  <c r="K403"/>
  <c r="L403"/>
  <c r="K407"/>
  <c r="L407"/>
  <c r="K418"/>
  <c r="L418"/>
  <c r="K422"/>
  <c r="L422"/>
  <c r="K437"/>
  <c r="L437"/>
  <c r="K452"/>
  <c r="L452"/>
  <c r="K456"/>
  <c r="L456"/>
  <c r="K467"/>
  <c r="L467"/>
  <c r="K471"/>
  <c r="L471"/>
  <c r="K482"/>
  <c r="L482"/>
  <c r="K486"/>
  <c r="L486"/>
  <c r="K501"/>
  <c r="L501"/>
  <c r="K516"/>
  <c r="L516"/>
  <c r="K520"/>
  <c r="L520"/>
  <c r="K532"/>
  <c r="L532"/>
  <c r="K536"/>
  <c r="L536"/>
  <c r="K547"/>
  <c r="L547"/>
  <c r="K551"/>
  <c r="L551"/>
  <c r="K566"/>
  <c r="L566"/>
  <c r="K581"/>
  <c r="L581"/>
  <c r="K585"/>
  <c r="L585"/>
  <c r="K595"/>
  <c r="L595"/>
  <c r="K599"/>
  <c r="L599"/>
  <c r="K613"/>
  <c r="L613"/>
  <c r="K617"/>
  <c r="L617"/>
  <c r="K627"/>
  <c r="L627"/>
  <c r="K631"/>
  <c r="L631"/>
  <c r="K645"/>
  <c r="L645"/>
  <c r="K649"/>
  <c r="L649"/>
  <c r="K659"/>
  <c r="L659"/>
  <c r="K663"/>
  <c r="L663"/>
  <c r="K677"/>
  <c r="L677"/>
  <c r="K681"/>
  <c r="L681"/>
  <c r="K691"/>
  <c r="L691"/>
  <c r="K695"/>
  <c r="L695"/>
  <c r="K709"/>
  <c r="L709"/>
  <c r="K713"/>
  <c r="L713"/>
  <c r="K723"/>
  <c r="L723"/>
  <c r="K727"/>
  <c r="L727"/>
  <c r="K745"/>
  <c r="L745"/>
  <c r="K759"/>
  <c r="L759"/>
  <c r="L746"/>
  <c r="L747"/>
  <c r="L748"/>
  <c r="L749"/>
  <c r="L762"/>
  <c r="L763"/>
  <c r="L764"/>
  <c r="L765"/>
  <c r="L777"/>
  <c r="L778"/>
  <c r="L779"/>
  <c r="L780"/>
  <c r="L781"/>
  <c r="L793"/>
  <c r="L794"/>
  <c r="L795"/>
  <c r="L796"/>
  <c r="L806"/>
  <c r="L807"/>
  <c r="L808"/>
  <c r="L809"/>
  <c r="L810"/>
  <c r="L811"/>
  <c r="L812"/>
  <c r="L822"/>
  <c r="L823"/>
  <c r="L824"/>
  <c r="L825"/>
  <c r="L826"/>
  <c r="L827"/>
  <c r="L828"/>
  <c r="L838"/>
  <c r="L839"/>
  <c r="L840"/>
  <c r="L841"/>
  <c r="L842"/>
  <c r="L843"/>
  <c r="L844"/>
  <c r="L854"/>
  <c r="L855"/>
  <c r="L856"/>
  <c r="L857"/>
  <c r="L858"/>
  <c r="L859"/>
  <c r="L860"/>
  <c r="L870"/>
  <c r="L886"/>
  <c r="L917"/>
  <c r="L949"/>
  <c r="L981"/>
  <c r="L982"/>
  <c r="L983"/>
  <c r="L984"/>
  <c r="L985"/>
  <c r="L775"/>
  <c r="L776"/>
  <c r="L791"/>
  <c r="L792"/>
  <c r="L885"/>
  <c r="L909"/>
  <c r="L910"/>
  <c r="L911"/>
  <c r="L912"/>
  <c r="L913"/>
  <c r="L914"/>
  <c r="L915"/>
  <c r="L916"/>
  <c r="L941"/>
  <c r="L942"/>
  <c r="L943"/>
  <c r="L944"/>
  <c r="L945"/>
  <c r="L946"/>
  <c r="L947"/>
  <c r="L948"/>
  <c r="L973"/>
  <c r="L974"/>
  <c r="L975"/>
  <c r="L976"/>
  <c r="L977"/>
  <c r="L978"/>
  <c r="L979"/>
  <c r="L980"/>
  <c r="L879"/>
  <c r="L880"/>
  <c r="L881"/>
  <c r="L882"/>
  <c r="L883"/>
  <c r="L884"/>
  <c r="L902"/>
  <c r="L903"/>
  <c r="L904"/>
  <c r="L905"/>
  <c r="L906"/>
  <c r="L907"/>
  <c r="L908"/>
  <c r="L934"/>
  <c r="L935"/>
  <c r="L936"/>
  <c r="L937"/>
  <c r="L938"/>
  <c r="L939"/>
  <c r="L940"/>
  <c r="L966"/>
  <c r="L967"/>
  <c r="L968"/>
  <c r="L969"/>
  <c r="L970"/>
  <c r="L971"/>
  <c r="L972"/>
  <c r="I31" i="3"/>
  <c r="K31" s="1"/>
  <c r="J31"/>
  <c r="I28"/>
  <c r="K28" s="1"/>
  <c r="J28"/>
  <c r="J47"/>
  <c r="I74"/>
  <c r="K74" s="1"/>
  <c r="J74"/>
  <c r="I79"/>
  <c r="K79" s="1"/>
  <c r="I45"/>
  <c r="K45" s="1"/>
  <c r="J45"/>
  <c r="I60"/>
  <c r="K60" s="1"/>
  <c r="J60"/>
  <c r="I43"/>
  <c r="K43" s="1"/>
  <c r="J43"/>
  <c r="I39"/>
  <c r="K39" s="1"/>
  <c r="J39"/>
  <c r="I72"/>
  <c r="K72" s="1"/>
  <c r="J72"/>
  <c r="I42"/>
  <c r="K42" s="1"/>
  <c r="J42"/>
  <c r="I27"/>
  <c r="K27" s="1"/>
  <c r="J27"/>
  <c r="I54"/>
  <c r="K54" s="1"/>
  <c r="B40"/>
  <c r="B38"/>
  <c r="B36"/>
  <c r="B34"/>
  <c r="C40"/>
  <c r="C38"/>
  <c r="C36"/>
  <c r="C34"/>
  <c r="B41"/>
  <c r="B39"/>
  <c r="B37"/>
  <c r="B35"/>
  <c r="C41"/>
  <c r="C39"/>
  <c r="C37"/>
  <c r="C35"/>
  <c r="J63"/>
  <c r="I30"/>
  <c r="K30" s="1"/>
  <c r="J30"/>
  <c r="I49"/>
  <c r="K49" s="1"/>
  <c r="I55"/>
  <c r="K55" s="1"/>
  <c r="J55"/>
  <c r="I33"/>
  <c r="K33" s="1"/>
  <c r="I78"/>
  <c r="K78" s="1"/>
  <c r="J78"/>
  <c r="I36"/>
  <c r="K36" s="1"/>
  <c r="J36"/>
  <c r="I32"/>
  <c r="K32" s="1"/>
  <c r="J32"/>
  <c r="I77"/>
  <c r="K77" s="1"/>
  <c r="J77"/>
  <c r="J5" l="1"/>
  <c r="J7"/>
  <c r="J51"/>
  <c r="F8"/>
  <c r="I10"/>
  <c r="K10" s="1"/>
  <c r="J62"/>
  <c r="I21"/>
  <c r="K21" s="1"/>
  <c r="J20"/>
  <c r="C29"/>
  <c r="J73"/>
  <c r="C25"/>
  <c r="B22"/>
  <c r="J9"/>
  <c r="J19"/>
  <c r="J18"/>
  <c r="B18"/>
  <c r="C23"/>
  <c r="C22"/>
  <c r="J34"/>
  <c r="J67"/>
  <c r="B27"/>
  <c r="J8"/>
  <c r="J56"/>
  <c r="I70"/>
  <c r="K70" s="1"/>
  <c r="B29"/>
  <c r="I20"/>
  <c r="K20" s="1"/>
  <c r="J40"/>
  <c r="B24"/>
  <c r="C20"/>
  <c r="C18"/>
  <c r="C27"/>
  <c r="C26"/>
  <c r="C24"/>
  <c r="C21"/>
  <c r="C19"/>
  <c r="I46"/>
  <c r="K46" s="1"/>
  <c r="I5"/>
  <c r="K5" s="1"/>
  <c r="J52"/>
  <c r="J54"/>
  <c r="J71"/>
  <c r="J35"/>
  <c r="I63"/>
  <c r="K63" s="1"/>
  <c r="J75"/>
  <c r="J65"/>
  <c r="I68"/>
  <c r="K68" s="1"/>
  <c r="I19"/>
  <c r="K19" s="1"/>
  <c r="I38"/>
  <c r="K38" s="1"/>
  <c r="I18"/>
  <c r="K18" s="1"/>
  <c r="I48"/>
  <c r="K48" s="1"/>
  <c r="C28"/>
  <c r="J53"/>
  <c r="J16"/>
  <c r="B25"/>
  <c r="J58"/>
  <c r="J64"/>
  <c r="J59"/>
  <c r="B21"/>
  <c r="I69"/>
  <c r="K69" s="1"/>
  <c r="J6"/>
  <c r="J46"/>
  <c r="J41"/>
  <c r="I11"/>
  <c r="K11" s="1"/>
  <c r="J50"/>
  <c r="I9"/>
  <c r="K9" s="1"/>
  <c r="J29"/>
  <c r="B23"/>
  <c r="B19"/>
  <c r="B26"/>
  <c r="I34"/>
  <c r="K34" s="1"/>
  <c r="I65"/>
  <c r="K65" s="1"/>
  <c r="I66"/>
  <c r="K66" s="1"/>
  <c r="I44"/>
  <c r="K44" s="1"/>
  <c r="I67"/>
  <c r="K67" s="1"/>
  <c r="J37"/>
  <c r="I76"/>
  <c r="K76" s="1"/>
  <c r="I52"/>
  <c r="K52" s="1"/>
  <c r="I17"/>
  <c r="K17" s="1"/>
  <c r="I73"/>
  <c r="K73" s="1"/>
  <c r="I75"/>
  <c r="K75" s="1"/>
  <c r="I57"/>
  <c r="K57" s="1"/>
  <c r="I35"/>
  <c r="K35" s="1"/>
  <c r="I61"/>
  <c r="K61" s="1"/>
  <c r="I71"/>
  <c r="K71" s="1"/>
  <c r="J68"/>
  <c r="I80"/>
  <c r="K80" s="1"/>
  <c r="I8"/>
  <c r="K8" s="1"/>
  <c r="J21"/>
  <c r="I16"/>
  <c r="K16" s="1"/>
  <c r="N16" s="1"/>
  <c r="N11" i="1" s="1"/>
  <c r="B20" i="3"/>
  <c r="J10"/>
  <c r="J11"/>
  <c r="I6"/>
  <c r="K6" s="1"/>
  <c r="F6"/>
  <c r="E8" i="1" s="1"/>
  <c r="J57" i="3"/>
  <c r="I7"/>
  <c r="K7" s="1"/>
  <c r="I37"/>
  <c r="K37" s="1"/>
  <c r="J17"/>
  <c r="F5"/>
  <c r="B8" i="1" s="1"/>
  <c r="P42" i="3" l="1"/>
  <c r="R42" s="1"/>
  <c r="O21"/>
  <c r="Q21" s="1"/>
  <c r="O16"/>
  <c r="P74"/>
  <c r="P16"/>
  <c r="N21"/>
  <c r="O30"/>
  <c r="O48"/>
  <c r="O64"/>
  <c r="O80"/>
  <c r="Q47"/>
  <c r="P58"/>
  <c r="R58" s="1"/>
  <c r="O44"/>
  <c r="O60"/>
  <c r="O76"/>
  <c r="O40"/>
  <c r="S39"/>
  <c r="O56"/>
  <c r="O72"/>
  <c r="S34"/>
  <c r="Q75"/>
  <c r="O5"/>
  <c r="Q5" s="1"/>
  <c r="P78"/>
  <c r="N17"/>
  <c r="Q34"/>
  <c r="O52"/>
  <c r="O68"/>
  <c r="O28"/>
  <c r="Q59"/>
  <c r="O6"/>
  <c r="Q6" s="1"/>
  <c r="P21"/>
  <c r="O20"/>
  <c r="S29"/>
  <c r="O39"/>
  <c r="S47"/>
  <c r="S55"/>
  <c r="S63"/>
  <c r="S71"/>
  <c r="S79"/>
  <c r="Q27"/>
  <c r="Q39"/>
  <c r="Q55"/>
  <c r="P35"/>
  <c r="P70"/>
  <c r="O11"/>
  <c r="Q11" s="1"/>
  <c r="N8"/>
  <c r="O19"/>
  <c r="Q19" s="1"/>
  <c r="N19"/>
  <c r="N18"/>
  <c r="P19"/>
  <c r="S27"/>
  <c r="O32"/>
  <c r="O37"/>
  <c r="O42"/>
  <c r="O46"/>
  <c r="O50"/>
  <c r="O54"/>
  <c r="O58"/>
  <c r="O62"/>
  <c r="O66"/>
  <c r="O70"/>
  <c r="O74"/>
  <c r="O78"/>
  <c r="P36"/>
  <c r="Q31"/>
  <c r="Q37"/>
  <c r="Q43"/>
  <c r="Q51"/>
  <c r="Q67"/>
  <c r="P30"/>
  <c r="B52" i="1" s="1"/>
  <c r="P50" i="3"/>
  <c r="R50" s="1"/>
  <c r="P66"/>
  <c r="N10"/>
  <c r="N7"/>
  <c r="P79"/>
  <c r="R79" s="1"/>
  <c r="P11"/>
  <c r="N20"/>
  <c r="P20"/>
  <c r="S33"/>
  <c r="S43"/>
  <c r="S51"/>
  <c r="S59"/>
  <c r="S67"/>
  <c r="S75"/>
  <c r="O34"/>
  <c r="Q46"/>
  <c r="Q71"/>
  <c r="P54"/>
  <c r="R54" s="1"/>
  <c r="P18"/>
  <c r="O18"/>
  <c r="Q18" s="1"/>
  <c r="O17"/>
  <c r="Q17" s="1"/>
  <c r="O27"/>
  <c r="Q8" i="1" s="1"/>
  <c r="S31" i="3"/>
  <c r="Q36"/>
  <c r="S41"/>
  <c r="S45"/>
  <c r="S49"/>
  <c r="S53"/>
  <c r="S57"/>
  <c r="S61"/>
  <c r="S65"/>
  <c r="S69"/>
  <c r="S73"/>
  <c r="S77"/>
  <c r="P34"/>
  <c r="E56" i="1" s="1"/>
  <c r="Q30" i="3"/>
  <c r="G52" i="1" s="1"/>
  <c r="S36" i="3"/>
  <c r="Q42"/>
  <c r="Q50"/>
  <c r="Q63"/>
  <c r="Q79"/>
  <c r="P46"/>
  <c r="R46" s="1"/>
  <c r="P62"/>
  <c r="P17"/>
  <c r="Q54"/>
  <c r="Q58"/>
  <c r="Q62"/>
  <c r="Q66"/>
  <c r="Q70"/>
  <c r="Q74"/>
  <c r="Q78"/>
  <c r="P29"/>
  <c r="R29" s="1"/>
  <c r="J51" i="1" s="1"/>
  <c r="P33" i="3"/>
  <c r="E55" i="1" s="1"/>
  <c r="P41" i="3"/>
  <c r="R41" s="1"/>
  <c r="P45"/>
  <c r="R45" s="1"/>
  <c r="P49"/>
  <c r="R49" s="1"/>
  <c r="P53"/>
  <c r="R53" s="1"/>
  <c r="P57"/>
  <c r="R57" s="1"/>
  <c r="P61"/>
  <c r="R61" s="1"/>
  <c r="P65"/>
  <c r="R65" s="1"/>
  <c r="P69"/>
  <c r="R69" s="1"/>
  <c r="P73"/>
  <c r="R73" s="1"/>
  <c r="P77"/>
  <c r="R77" s="1"/>
  <c r="O29"/>
  <c r="O33"/>
  <c r="Q38"/>
  <c r="O43"/>
  <c r="O47"/>
  <c r="O51"/>
  <c r="O55"/>
  <c r="O59"/>
  <c r="O63"/>
  <c r="O67"/>
  <c r="O71"/>
  <c r="O75"/>
  <c r="O77"/>
  <c r="P28"/>
  <c r="P40"/>
  <c r="R40" s="1"/>
  <c r="Q29"/>
  <c r="Q33"/>
  <c r="O36"/>
  <c r="C58" i="1" s="1"/>
  <c r="S38" i="3"/>
  <c r="Q41"/>
  <c r="Q45"/>
  <c r="Q49"/>
  <c r="Q53"/>
  <c r="Q57"/>
  <c r="Q61"/>
  <c r="Q65"/>
  <c r="Q69"/>
  <c r="Q73"/>
  <c r="Q77"/>
  <c r="P27"/>
  <c r="B49" i="1" s="1"/>
  <c r="P32" i="3"/>
  <c r="P39"/>
  <c r="R39" s="1"/>
  <c r="P44"/>
  <c r="R44" s="1"/>
  <c r="P48"/>
  <c r="R48" s="1"/>
  <c r="P52"/>
  <c r="R52" s="1"/>
  <c r="P56"/>
  <c r="R56" s="1"/>
  <c r="P60"/>
  <c r="R60" s="1"/>
  <c r="P64"/>
  <c r="R64" s="1"/>
  <c r="P68"/>
  <c r="R68" s="1"/>
  <c r="P72"/>
  <c r="R72" s="1"/>
  <c r="P76"/>
  <c r="R76" s="1"/>
  <c r="P80"/>
  <c r="R80" s="1"/>
  <c r="P8"/>
  <c r="P10"/>
  <c r="O31"/>
  <c r="S35"/>
  <c r="E57" i="1" s="1"/>
  <c r="O41" i="3"/>
  <c r="O45"/>
  <c r="O49"/>
  <c r="O53"/>
  <c r="O57"/>
  <c r="O61"/>
  <c r="O65"/>
  <c r="O69"/>
  <c r="O73"/>
  <c r="O79"/>
  <c r="Q16"/>
  <c r="Q20"/>
  <c r="Q28"/>
  <c r="S30"/>
  <c r="E52" i="1" s="1"/>
  <c r="S32" i="3"/>
  <c r="O35"/>
  <c r="C57" i="1" s="1"/>
  <c r="S37" i="3"/>
  <c r="Q40"/>
  <c r="S42"/>
  <c r="S44"/>
  <c r="S46"/>
  <c r="S48"/>
  <c r="S50"/>
  <c r="S52"/>
  <c r="S54"/>
  <c r="S56"/>
  <c r="S58"/>
  <c r="S60"/>
  <c r="S62"/>
  <c r="S64"/>
  <c r="S66"/>
  <c r="S68"/>
  <c r="S70"/>
  <c r="S72"/>
  <c r="S74"/>
  <c r="S76"/>
  <c r="S78"/>
  <c r="S80"/>
  <c r="P38"/>
  <c r="R38" s="1"/>
  <c r="S28"/>
  <c r="Q32"/>
  <c r="Q35"/>
  <c r="O38"/>
  <c r="S40"/>
  <c r="Q44"/>
  <c r="Q48"/>
  <c r="Q52"/>
  <c r="Q56"/>
  <c r="Q60"/>
  <c r="Q64"/>
  <c r="Q68"/>
  <c r="Q72"/>
  <c r="Q76"/>
  <c r="Q80"/>
  <c r="P31"/>
  <c r="B53" i="1" s="1"/>
  <c r="P37" i="3"/>
  <c r="R37" s="1"/>
  <c r="P43"/>
  <c r="R43" s="1"/>
  <c r="P47"/>
  <c r="R47" s="1"/>
  <c r="P51"/>
  <c r="R51" s="1"/>
  <c r="P55"/>
  <c r="R55" s="1"/>
  <c r="P59"/>
  <c r="R59" s="1"/>
  <c r="P63"/>
  <c r="R63" s="1"/>
  <c r="P67"/>
  <c r="R67" s="1"/>
  <c r="P71"/>
  <c r="R71" s="1"/>
  <c r="P75"/>
  <c r="R75" s="1"/>
  <c r="P7"/>
  <c r="O9"/>
  <c r="Q9" s="1"/>
  <c r="N9"/>
  <c r="F9"/>
  <c r="K8" i="1" s="1"/>
  <c r="R62" i="3"/>
  <c r="R66"/>
  <c r="R70"/>
  <c r="R74"/>
  <c r="R78"/>
  <c r="F7"/>
  <c r="H8" i="1" s="1"/>
  <c r="P6" i="3"/>
  <c r="N11"/>
  <c r="O8"/>
  <c r="Q8" s="1"/>
  <c r="N6"/>
  <c r="O10"/>
  <c r="Q10" s="1"/>
  <c r="P5"/>
  <c r="P9"/>
  <c r="O7"/>
  <c r="Q7" s="1"/>
  <c r="N5"/>
  <c r="N8" i="1" s="1"/>
  <c r="R36" i="3"/>
  <c r="J58" i="1" s="1"/>
  <c r="E58"/>
  <c r="H58"/>
  <c r="B58"/>
  <c r="G58"/>
  <c r="R30" i="3"/>
  <c r="J52" i="1" s="1"/>
  <c r="C52"/>
  <c r="R35" i="3"/>
  <c r="J57" i="1" s="1"/>
  <c r="H57"/>
  <c r="B57"/>
  <c r="G57"/>
  <c r="H56"/>
  <c r="G56"/>
  <c r="H51"/>
  <c r="R33" i="3"/>
  <c r="J55" i="1" s="1"/>
  <c r="H55"/>
  <c r="C55"/>
  <c r="H50"/>
  <c r="B50"/>
  <c r="G50"/>
  <c r="R27" i="3"/>
  <c r="J49" i="1" s="1"/>
  <c r="C49"/>
  <c r="E49"/>
  <c r="R32" i="3"/>
  <c r="J54" i="1" s="1"/>
  <c r="H54"/>
  <c r="B54"/>
  <c r="C54"/>
  <c r="G54"/>
  <c r="E54" l="1"/>
  <c r="G55"/>
  <c r="B51"/>
  <c r="R34" i="3"/>
  <c r="J56" i="1" s="1"/>
  <c r="H52"/>
  <c r="B56"/>
  <c r="G51"/>
  <c r="C56"/>
  <c r="E51"/>
  <c r="C51"/>
  <c r="E53"/>
  <c r="E50"/>
  <c r="R31" i="3"/>
  <c r="J53" i="1" s="1"/>
  <c r="G53"/>
  <c r="G49"/>
  <c r="H49"/>
  <c r="R28" i="3"/>
  <c r="J50" i="1" s="1"/>
  <c r="B55"/>
  <c r="C53"/>
  <c r="H53"/>
  <c r="C50"/>
</calcChain>
</file>

<file path=xl/sharedStrings.xml><?xml version="1.0" encoding="utf-8"?>
<sst xmlns="http://schemas.openxmlformats.org/spreadsheetml/2006/main" count="5180" uniqueCount="1140">
  <si>
    <t>DASHBOARD DE VENDAS DE VEÍCULOS</t>
  </si>
  <si>
    <t>Base: 985 vendas de 2013 a jun/2020 · 7 marcas · 54 modelos · 6 países</t>
  </si>
  <si>
    <t>ANO</t>
  </si>
  <si>
    <t>Todos</t>
  </si>
  <si>
    <t>PAÍS</t>
  </si>
  <si>
    <t>MARCA</t>
  </si>
  <si>
    <t>Todas</t>
  </si>
  <si>
    <t>◄ Escolha nas listas para filtrar todo o painel</t>
  </si>
  <si>
    <t>FATURAMENTO</t>
  </si>
  <si>
    <t>Nº DE VENDAS</t>
  </si>
  <si>
    <t>TICKET MÉDIO</t>
  </si>
  <si>
    <t>VS ANO ANTERIOR</t>
  </si>
  <si>
    <t>MARCA LÍDER</t>
  </si>
  <si>
    <t>MODELO LÍDER</t>
  </si>
  <si>
    <t>TOP 10 MODELOS</t>
  </si>
  <si>
    <t>COMO LER ESTE PAINEL</t>
  </si>
  <si>
    <t>#</t>
  </si>
  <si>
    <t>Modelo</t>
  </si>
  <si>
    <t>Marca</t>
  </si>
  <si>
    <t>Vendas</t>
  </si>
  <si>
    <t>Faturamento</t>
  </si>
  <si>
    <t>% do total</t>
  </si>
  <si>
    <t>• Os filtros de Ano, País e Marca atualizam todos os números e gráficos.</t>
  </si>
  <si>
    <t>• “Vs ano anterior” e a linha cinza só aparecem com um ano selecionado.</t>
  </si>
  <si>
    <t>• A evolução anual respeita País e Marca, mas mostra todos os anos.</t>
  </si>
  <si>
    <t>• 2020 tem dados só até junho: compare com cuidado.</t>
  </si>
  <si>
    <t>• Dados fictícios, usados apenas para estudo.</t>
  </si>
  <si>
    <t>ID</t>
  </si>
  <si>
    <t>Data</t>
  </si>
  <si>
    <t>Ano</t>
  </si>
  <si>
    <t>Mês</t>
  </si>
  <si>
    <t>Preço</t>
  </si>
  <si>
    <t>País</t>
  </si>
  <si>
    <t>Região</t>
  </si>
  <si>
    <t>Cliente</t>
  </si>
  <si>
    <t>Filtro atual</t>
  </si>
  <si>
    <t>Filtro ano anterior</t>
  </si>
  <si>
    <t>Filtro sem ano</t>
  </si>
  <si>
    <t>Chevrolet</t>
  </si>
  <si>
    <t>Onix</t>
  </si>
  <si>
    <t>Brasil</t>
  </si>
  <si>
    <t>Rio Grande do Norte</t>
  </si>
  <si>
    <t>Olga Stigell</t>
  </si>
  <si>
    <t>Volkswagen</t>
  </si>
  <si>
    <t>Golf</t>
  </si>
  <si>
    <t>São Paulo</t>
  </si>
  <si>
    <t>Jamill Troup</t>
  </si>
  <si>
    <t>Honda</t>
  </si>
  <si>
    <t>NSX</t>
  </si>
  <si>
    <t>Japão</t>
  </si>
  <si>
    <t>Kyoto</t>
  </si>
  <si>
    <t>Mychal MacWhirter</t>
  </si>
  <si>
    <t>Accord</t>
  </si>
  <si>
    <t>China</t>
  </si>
  <si>
    <t>Xangai</t>
  </si>
  <si>
    <t>Aubrey Rany</t>
  </si>
  <si>
    <t>Prisma</t>
  </si>
  <si>
    <t>Estados Unidos</t>
  </si>
  <si>
    <t>Washington</t>
  </si>
  <si>
    <t>Shaylynn Binnie</t>
  </si>
  <si>
    <t>França</t>
  </si>
  <si>
    <t>Marselha</t>
  </si>
  <si>
    <t>Tedie Corden</t>
  </si>
  <si>
    <t>BMW</t>
  </si>
  <si>
    <t>BMW Série 1</t>
  </si>
  <si>
    <t>California</t>
  </si>
  <si>
    <t>Katusha Pluthero</t>
  </si>
  <si>
    <t>Passat</t>
  </si>
  <si>
    <t>Pequim</t>
  </si>
  <si>
    <t>Nara McGahey</t>
  </si>
  <si>
    <t>Voyage</t>
  </si>
  <si>
    <t>Lyon</t>
  </si>
  <si>
    <t>Skippie Doick</t>
  </si>
  <si>
    <t>Renault</t>
  </si>
  <si>
    <t>Clio</t>
  </si>
  <si>
    <t>Maynord Lambis</t>
  </si>
  <si>
    <t>Ford</t>
  </si>
  <si>
    <t>Fusion</t>
  </si>
  <si>
    <t>Hubei</t>
  </si>
  <si>
    <t>Emylee Frantsev</t>
  </si>
  <si>
    <t>Spin</t>
  </si>
  <si>
    <t>Argentina</t>
  </si>
  <si>
    <t>Tucumán</t>
  </si>
  <si>
    <t>Cherise McKea</t>
  </si>
  <si>
    <t>Stearne Duguid</t>
  </si>
  <si>
    <t>Espirito Santo</t>
  </si>
  <si>
    <t>Oralle Pavel</t>
  </si>
  <si>
    <t>Fox</t>
  </si>
  <si>
    <t>Pernambuco</t>
  </si>
  <si>
    <t>Olenka Moxson</t>
  </si>
  <si>
    <t>Jakie Scarrisbrick</t>
  </si>
  <si>
    <t>Ka</t>
  </si>
  <si>
    <t>Shandong</t>
  </si>
  <si>
    <t>Devina Albutt</t>
  </si>
  <si>
    <t>Ferrari</t>
  </si>
  <si>
    <t>Portofino</t>
  </si>
  <si>
    <t>Saitama</t>
  </si>
  <si>
    <t>Melvyn Stopforth</t>
  </si>
  <si>
    <t>Rio de Janeiro</t>
  </si>
  <si>
    <t>Tracee Stemp</t>
  </si>
  <si>
    <t>Bahia</t>
  </si>
  <si>
    <t>Karisa Stormonth</t>
  </si>
  <si>
    <t>Sandero</t>
  </si>
  <si>
    <t>Osaka</t>
  </si>
  <si>
    <t>Nan Teligin</t>
  </si>
  <si>
    <t>BMW Série 3</t>
  </si>
  <si>
    <t>Florida</t>
  </si>
  <si>
    <t>Justinian Fairbourne</t>
  </si>
  <si>
    <t>Mendonza</t>
  </si>
  <si>
    <t>Freddie Nickless</t>
  </si>
  <si>
    <t>Ranger</t>
  </si>
  <si>
    <t>Lamond Grubbe</t>
  </si>
  <si>
    <t>Equinox</t>
  </si>
  <si>
    <t>Eileen Fritz</t>
  </si>
  <si>
    <t>Paris</t>
  </si>
  <si>
    <t>Hayes Gilston</t>
  </si>
  <si>
    <t>S2000</t>
  </si>
  <si>
    <t>Symon Rowlatt</t>
  </si>
  <si>
    <t>Lucretia Billanie</t>
  </si>
  <si>
    <t>Logan</t>
  </si>
  <si>
    <t>Sichuan</t>
  </si>
  <si>
    <t>Sela Samuels</t>
  </si>
  <si>
    <t>Yokohama</t>
  </si>
  <si>
    <t>Barbi Tolley</t>
  </si>
  <si>
    <t>I8</t>
  </si>
  <si>
    <t>Thorsten Jikylls</t>
  </si>
  <si>
    <t>Camaro</t>
  </si>
  <si>
    <t>Conway Hoys</t>
  </si>
  <si>
    <t>Anton Deely</t>
  </si>
  <si>
    <t>Ecosport</t>
  </si>
  <si>
    <t>Arnaldo Lorkings</t>
  </si>
  <si>
    <t>Terrence Erskine Sandys</t>
  </si>
  <si>
    <t>HR-V</t>
  </si>
  <si>
    <t>Myles Appleby</t>
  </si>
  <si>
    <t>Gol</t>
  </si>
  <si>
    <t>Ginny McTavy</t>
  </si>
  <si>
    <t>City</t>
  </si>
  <si>
    <t>Odele Ecles</t>
  </si>
  <si>
    <t>Mustang</t>
  </si>
  <si>
    <t>Ferrell Hickisson</t>
  </si>
  <si>
    <t>Duster</t>
  </si>
  <si>
    <t>Benson Pickthorne</t>
  </si>
  <si>
    <t>Goiás</t>
  </si>
  <si>
    <t>Costa Dilliston</t>
  </si>
  <si>
    <t>Santa Catarina</t>
  </si>
  <si>
    <t>Starlene Gretham</t>
  </si>
  <si>
    <t>Buenos Aires</t>
  </si>
  <si>
    <t>Chryste Storrier</t>
  </si>
  <si>
    <t>Enzo</t>
  </si>
  <si>
    <t>Terri Perrinchief</t>
  </si>
  <si>
    <t>Kwid</t>
  </si>
  <si>
    <t>Tokyo</t>
  </si>
  <si>
    <t>Guillemette Reade</t>
  </si>
  <si>
    <t>Córdova</t>
  </si>
  <si>
    <t>Carr Wogden</t>
  </si>
  <si>
    <t>CR-V</t>
  </si>
  <si>
    <t>Arvin O' Timony</t>
  </si>
  <si>
    <t>Alaine Carr</t>
  </si>
  <si>
    <t>Rio Grande do Sul</t>
  </si>
  <si>
    <t>Wilhelmina Wiersma</t>
  </si>
  <si>
    <t>Oklahoma</t>
  </si>
  <si>
    <t>Ferguson Eastbury</t>
  </si>
  <si>
    <t>X5</t>
  </si>
  <si>
    <t>Solomon Skones</t>
  </si>
  <si>
    <t>Cart Shilstone</t>
  </si>
  <si>
    <t>Joy</t>
  </si>
  <si>
    <t>Olimpia Brownlee</t>
  </si>
  <si>
    <t>Aristotle Cicculi</t>
  </si>
  <si>
    <t>Peta Salt</t>
  </si>
  <si>
    <t>Gaye Emberton</t>
  </si>
  <si>
    <t>Uta Torpie</t>
  </si>
  <si>
    <t>Evvie Capnor</t>
  </si>
  <si>
    <t>Adelina Sebright</t>
  </si>
  <si>
    <t>Winna Grgic</t>
  </si>
  <si>
    <t>Man Nowakowski</t>
  </si>
  <si>
    <t>Kliment Palfreman</t>
  </si>
  <si>
    <t>Alfie Leborgne</t>
  </si>
  <si>
    <t>Andrea McDugal</t>
  </si>
  <si>
    <t>Giorgio Jeannot</t>
  </si>
  <si>
    <t>X6</t>
  </si>
  <si>
    <t>Minas Gerais</t>
  </si>
  <si>
    <t>Candis Worsnip</t>
  </si>
  <si>
    <t>Civic</t>
  </si>
  <si>
    <t>Georgianne Lage</t>
  </si>
  <si>
    <t>Kevyn Cholwell</t>
  </si>
  <si>
    <t>Layton Abrahim</t>
  </si>
  <si>
    <t>488</t>
  </si>
  <si>
    <t>Nannette Snowdon</t>
  </si>
  <si>
    <t>Tolouse</t>
  </si>
  <si>
    <t>Andie Aberhart</t>
  </si>
  <si>
    <t>Chaco</t>
  </si>
  <si>
    <t>Cullin Boays</t>
  </si>
  <si>
    <t>F50</t>
  </si>
  <si>
    <t>Sephira Simond</t>
  </si>
  <si>
    <t>Tim Clemow</t>
  </si>
  <si>
    <t>Marieann Brangan</t>
  </si>
  <si>
    <t>Sydelle Jansema</t>
  </si>
  <si>
    <t>UP!</t>
  </si>
  <si>
    <t>Catlaina Hilley</t>
  </si>
  <si>
    <t>Nice</t>
  </si>
  <si>
    <t>Doroteya Penylton</t>
  </si>
  <si>
    <t>Sayers Michel</t>
  </si>
  <si>
    <t>Twyla Deaton</t>
  </si>
  <si>
    <t>Devi Currell</t>
  </si>
  <si>
    <t>Tedman Lean</t>
  </si>
  <si>
    <t>Briggs Topaz</t>
  </si>
  <si>
    <t>Angeli Westgarth</t>
  </si>
  <si>
    <t>Fiesta</t>
  </si>
  <si>
    <t>Eydie Dy</t>
  </si>
  <si>
    <t>Kerwinn Heims</t>
  </si>
  <si>
    <t>Alejoa McGarvey</t>
  </si>
  <si>
    <t>Brendon Climance</t>
  </si>
  <si>
    <t>Ealasaid Oret</t>
  </si>
  <si>
    <t>Alma Luipold</t>
  </si>
  <si>
    <t>Carolan Guerrero</t>
  </si>
  <si>
    <t>Anneliese Load</t>
  </si>
  <si>
    <t>Teritory</t>
  </si>
  <si>
    <t>Fanchon Liversley</t>
  </si>
  <si>
    <t>Lothaire Brenard</t>
  </si>
  <si>
    <t>Bellanca Windous</t>
  </si>
  <si>
    <t>Panchito Lenihan</t>
  </si>
  <si>
    <t>Anjela Ragles</t>
  </si>
  <si>
    <t>Calley Swire</t>
  </si>
  <si>
    <t>Grand Tour</t>
  </si>
  <si>
    <t>Cyrill Delicate</t>
  </si>
  <si>
    <t>Hedda Cashin</t>
  </si>
  <si>
    <t>Ninette Dawtrey</t>
  </si>
  <si>
    <t>Cruze</t>
  </si>
  <si>
    <t>Patsy Covey</t>
  </si>
  <si>
    <t>Rachel Tombleson</t>
  </si>
  <si>
    <t>Teodorico Vales</t>
  </si>
  <si>
    <t>Ohio</t>
  </si>
  <si>
    <t>Korey Causley</t>
  </si>
  <si>
    <t>Any Slater</t>
  </si>
  <si>
    <t>Nadia Baumert</t>
  </si>
  <si>
    <t>Gavin Pabel</t>
  </si>
  <si>
    <t>Tracker</t>
  </si>
  <si>
    <t>Filippa Ivey</t>
  </si>
  <si>
    <t>Jacki Venner</t>
  </si>
  <si>
    <t>Tierney Leech</t>
  </si>
  <si>
    <t>Marney Bonsall</t>
  </si>
  <si>
    <t>Darbee Djordjevic</t>
  </si>
  <si>
    <t>Naomi Ellwand</t>
  </si>
  <si>
    <t>BMW Série 5</t>
  </si>
  <si>
    <t>Pancho Spriggen</t>
  </si>
  <si>
    <t>Hermina Gauson</t>
  </si>
  <si>
    <t>Jillana Betun</t>
  </si>
  <si>
    <t>Isadore Boak</t>
  </si>
  <si>
    <t>X3</t>
  </si>
  <si>
    <t>Renelle Goodlad</t>
  </si>
  <si>
    <t>Chaunce Barnish</t>
  </si>
  <si>
    <t>Polo</t>
  </si>
  <si>
    <t>Pete Elliss</t>
  </si>
  <si>
    <t>Madlin Mooring</t>
  </si>
  <si>
    <t>Goddard Wallworth</t>
  </si>
  <si>
    <t>Zorine Goodricke</t>
  </si>
  <si>
    <t>Quintana Pearton</t>
  </si>
  <si>
    <t>Pammie Childrens</t>
  </si>
  <si>
    <t>Hurlee Casarini</t>
  </si>
  <si>
    <t>Jewelle Cheers</t>
  </si>
  <si>
    <t>Barry Studdal</t>
  </si>
  <si>
    <t>Winnah Oller</t>
  </si>
  <si>
    <t>Vasilis Saer</t>
  </si>
  <si>
    <t>Arly Costell</t>
  </si>
  <si>
    <t>Eleonore Gasker</t>
  </si>
  <si>
    <t>Em Currm</t>
  </si>
  <si>
    <t>Kass Jerzak</t>
  </si>
  <si>
    <t>Siffre Czajkowski</t>
  </si>
  <si>
    <t>Angeli Jado</t>
  </si>
  <si>
    <t>Ninetta Eplett</t>
  </si>
  <si>
    <t>Pará</t>
  </si>
  <si>
    <t>Carree Calles</t>
  </si>
  <si>
    <t>Fit</t>
  </si>
  <si>
    <t>Charil Vowell</t>
  </si>
  <si>
    <t>Thelma O'Cullen</t>
  </si>
  <si>
    <t>Elvira Braham</t>
  </si>
  <si>
    <t>Lelia Pudner</t>
  </si>
  <si>
    <t>Toddy Mattaus</t>
  </si>
  <si>
    <t>Annmaria Medling</t>
  </si>
  <si>
    <t>Rickey Heinsh</t>
  </si>
  <si>
    <t>Marlow Corstorphine</t>
  </si>
  <si>
    <t>Sheryl O'Codihie</t>
  </si>
  <si>
    <t>Emile Loveard</t>
  </si>
  <si>
    <t>Philbert Hallows</t>
  </si>
  <si>
    <t>Sam Hazeldene</t>
  </si>
  <si>
    <t>Jaimie Bushaway</t>
  </si>
  <si>
    <t>Byrom Greenlies</t>
  </si>
  <si>
    <t>Robin Inchcomb</t>
  </si>
  <si>
    <t>Lawrence Wisker</t>
  </si>
  <si>
    <t>Adolpho Chellam</t>
  </si>
  <si>
    <t>Kristal Duffit</t>
  </si>
  <si>
    <t>Maranhão</t>
  </si>
  <si>
    <t>Murvyn Sitch</t>
  </si>
  <si>
    <t>Byrle Sinott</t>
  </si>
  <si>
    <t>Edge</t>
  </si>
  <si>
    <t>Joe Shepherdson</t>
  </si>
  <si>
    <t>Dewey Fansy</t>
  </si>
  <si>
    <t>Mikel Lenard</t>
  </si>
  <si>
    <t>George Blanshard</t>
  </si>
  <si>
    <t>Meade Kubasek</t>
  </si>
  <si>
    <t>Florella Rickaert</t>
  </si>
  <si>
    <t>Rolf Dunlap</t>
  </si>
  <si>
    <t>Nevsa Vegas</t>
  </si>
  <si>
    <t>Shirline Strickett</t>
  </si>
  <si>
    <t>Worthy Proswell</t>
  </si>
  <si>
    <t>Lynnelle Bold</t>
  </si>
  <si>
    <t>Bone Scotter</t>
  </si>
  <si>
    <t>Ula Bruins</t>
  </si>
  <si>
    <t>Eadmund Borg</t>
  </si>
  <si>
    <t>Alanson Pantridge</t>
  </si>
  <si>
    <t>Lory Strangman</t>
  </si>
  <si>
    <t>Roxie Shurman</t>
  </si>
  <si>
    <t>Andrey Billingham</t>
  </si>
  <si>
    <t>Daffy Colhoun</t>
  </si>
  <si>
    <t>Fergus Tomlin</t>
  </si>
  <si>
    <t>Noby Norker</t>
  </si>
  <si>
    <t>Maegan Borchardt</t>
  </si>
  <si>
    <t>Bibby Middlewick</t>
  </si>
  <si>
    <t>Nancy Leger</t>
  </si>
  <si>
    <t>Elysha Simyson</t>
  </si>
  <si>
    <t>Lindy Wisniowski</t>
  </si>
  <si>
    <t>Alvis Gianilli</t>
  </si>
  <si>
    <t>Fanny McGettigan</t>
  </si>
  <si>
    <t>Jorry Swanborough</t>
  </si>
  <si>
    <t>Durante Egre</t>
  </si>
  <si>
    <t>Kim McSorley</t>
  </si>
  <si>
    <t>Derrek Messier</t>
  </si>
  <si>
    <t>Abagael Stille</t>
  </si>
  <si>
    <t>F8</t>
  </si>
  <si>
    <t>Melesa Sidle</t>
  </si>
  <si>
    <t>Yorker Middle</t>
  </si>
  <si>
    <t>Angela Sharpling</t>
  </si>
  <si>
    <t>Dusty Margerrison</t>
  </si>
  <si>
    <t>Emelita Barwis</t>
  </si>
  <si>
    <t>Xerxes Vooght</t>
  </si>
  <si>
    <t>Noella Treagus</t>
  </si>
  <si>
    <t>Didi Dron</t>
  </si>
  <si>
    <t>Andros Ginner</t>
  </si>
  <si>
    <t>Oralla Stebbing</t>
  </si>
  <si>
    <t>Colly Twelftree</t>
  </si>
  <si>
    <t>Pernell Shuker</t>
  </si>
  <si>
    <t>Sophey Hounihan</t>
  </si>
  <si>
    <t>Dara MacAfee</t>
  </si>
  <si>
    <t>Harland Tegler</t>
  </si>
  <si>
    <t>Roslyn Mortlock</t>
  </si>
  <si>
    <t>Lynnett Colley</t>
  </si>
  <si>
    <t>Benton Boleyn</t>
  </si>
  <si>
    <t>Waverly Dunkinson</t>
  </si>
  <si>
    <t>Laney Benfell</t>
  </si>
  <si>
    <t>Danella Wishkar</t>
  </si>
  <si>
    <t>Lek Palethorpe</t>
  </si>
  <si>
    <t>Tiena Karadzas</t>
  </si>
  <si>
    <t>Wallace Conti</t>
  </si>
  <si>
    <t>Kathie Goodley</t>
  </si>
  <si>
    <t>Esra Owbrick</t>
  </si>
  <si>
    <t>Yovonnda Prosh</t>
  </si>
  <si>
    <t>Bridgette Hutchason</t>
  </si>
  <si>
    <t>Waite Winspurr</t>
  </si>
  <si>
    <t>Haley Possek</t>
  </si>
  <si>
    <t>Lane Douch</t>
  </si>
  <si>
    <t>Horace Heinl</t>
  </si>
  <si>
    <t>Perrine Longfellow</t>
  </si>
  <si>
    <t>Wilone Ordidge</t>
  </si>
  <si>
    <t>Brandi Jean</t>
  </si>
  <si>
    <t>West Macartney</t>
  </si>
  <si>
    <t>Keriann Turfitt</t>
  </si>
  <si>
    <t>Albertina Osbaldstone</t>
  </si>
  <si>
    <t>Ruggiero Belly</t>
  </si>
  <si>
    <t>Joni Trimnell</t>
  </si>
  <si>
    <t>Emlynn Springtorp</t>
  </si>
  <si>
    <t>Briant Seer</t>
  </si>
  <si>
    <t>Emanuel Rearie</t>
  </si>
  <si>
    <t>Farrand Sheekey</t>
  </si>
  <si>
    <t>Kirsti Binyon</t>
  </si>
  <si>
    <t>Anette Hallows</t>
  </si>
  <si>
    <t>Caitrin Mattsson</t>
  </si>
  <si>
    <t>Cynde Bennetts</t>
  </si>
  <si>
    <t>Gar Mudd</t>
  </si>
  <si>
    <t>Gray Do Rosario</t>
  </si>
  <si>
    <t>Hill Dowsing</t>
  </si>
  <si>
    <t>Jetta</t>
  </si>
  <si>
    <t>Leicester Vear</t>
  </si>
  <si>
    <t>Leroy Lealle</t>
  </si>
  <si>
    <t>Clemmy Asche</t>
  </si>
  <si>
    <t>Tillie Hearne</t>
  </si>
  <si>
    <t>Shina Ekless</t>
  </si>
  <si>
    <t>North Popplewell</t>
  </si>
  <si>
    <t>Hernando Tunniclisse</t>
  </si>
  <si>
    <t>Ellery Gyford</t>
  </si>
  <si>
    <t>Hamish Graeser</t>
  </si>
  <si>
    <t>Rois Taffie</t>
  </si>
  <si>
    <t>Lew Ungaretti</t>
  </si>
  <si>
    <t>Debra Draayer</t>
  </si>
  <si>
    <t>Margot Carlisi</t>
  </si>
  <si>
    <t>Morgen Gayton</t>
  </si>
  <si>
    <t>Puff Bedward</t>
  </si>
  <si>
    <t>Ferne Sweynson</t>
  </si>
  <si>
    <t>Van Leake</t>
  </si>
  <si>
    <t>Luci Tower</t>
  </si>
  <si>
    <t>Corbett Yesinin</t>
  </si>
  <si>
    <t>Veronique Padkin</t>
  </si>
  <si>
    <t>Drusilla Mapplebeck</t>
  </si>
  <si>
    <t>Osbourn Shuttell</t>
  </si>
  <si>
    <t>Nelli Croke</t>
  </si>
  <si>
    <t>Tades Capoun</t>
  </si>
  <si>
    <t>Carmine MacAnespie</t>
  </si>
  <si>
    <t>Frances McTague</t>
  </si>
  <si>
    <t>Phillipp Cabrales</t>
  </si>
  <si>
    <t>Tommy Di Angelo</t>
  </si>
  <si>
    <t>Baudoin Aloshechkin</t>
  </si>
  <si>
    <t>Sean Lorman</t>
  </si>
  <si>
    <t>Lise Buckner</t>
  </si>
  <si>
    <t>Raffaello Leyninye</t>
  </si>
  <si>
    <t>Audie McBeith</t>
  </si>
  <si>
    <t>Tana Wanklyn</t>
  </si>
  <si>
    <t>Kippar Bansal</t>
  </si>
  <si>
    <t>Somerset Vannikov</t>
  </si>
  <si>
    <t>Hedwig Storie</t>
  </si>
  <si>
    <t>Amii Vondrach</t>
  </si>
  <si>
    <t>Granville Ector</t>
  </si>
  <si>
    <t>Nataniel Zecchii</t>
  </si>
  <si>
    <t>Erika Faichney</t>
  </si>
  <si>
    <t>Matilda Cominetti</t>
  </si>
  <si>
    <t>Granny Simecek</t>
  </si>
  <si>
    <t>Les Stitle</t>
  </si>
  <si>
    <t>Z4</t>
  </si>
  <si>
    <t>Harmonia Eymer</t>
  </si>
  <si>
    <t>Mirelle Husk</t>
  </si>
  <si>
    <t>Johnna Greendale</t>
  </si>
  <si>
    <t>Ulrika Trainor</t>
  </si>
  <si>
    <t>Leesa Bellwood</t>
  </si>
  <si>
    <t>Jermayne Winterburn</t>
  </si>
  <si>
    <t>Rosita Godball</t>
  </si>
  <si>
    <t>Brennan Piecha</t>
  </si>
  <si>
    <t>Konstantine Sillick</t>
  </si>
  <si>
    <t>Grove Hallawell</t>
  </si>
  <si>
    <t>Annabel Aberdein</t>
  </si>
  <si>
    <t>Katherine Kingescot</t>
  </si>
  <si>
    <t>Isidora Prinnett</t>
  </si>
  <si>
    <t>Caleb Sanday</t>
  </si>
  <si>
    <t>Flynn Kennon</t>
  </si>
  <si>
    <t>Robbert Kilfedder</t>
  </si>
  <si>
    <t>Gabi Lease</t>
  </si>
  <si>
    <t>Lilah Pawel</t>
  </si>
  <si>
    <t>Amazonas</t>
  </si>
  <si>
    <t>Sheelah Yakuntzov</t>
  </si>
  <si>
    <t>Henka McNellis</t>
  </si>
  <si>
    <t>Dennis Najara</t>
  </si>
  <si>
    <t>Filippa Raynor</t>
  </si>
  <si>
    <t>Caesar Yakob</t>
  </si>
  <si>
    <t>Arvy Degoix</t>
  </si>
  <si>
    <t>Ryann Guilliatt</t>
  </si>
  <si>
    <t>Amble Deverille</t>
  </si>
  <si>
    <t>Joanie Sukbhans</t>
  </si>
  <si>
    <t>Frannie Prantl</t>
  </si>
  <si>
    <t>Jennee McKendo</t>
  </si>
  <si>
    <t>Teriann Cussins</t>
  </si>
  <si>
    <t>Heath Chellam</t>
  </si>
  <si>
    <t>Foss Simenet</t>
  </si>
  <si>
    <t>Gabe De Biasio</t>
  </si>
  <si>
    <t>Katlin Isselee</t>
  </si>
  <si>
    <t>Jobina Ife</t>
  </si>
  <si>
    <t>Eden Drysdell</t>
  </si>
  <si>
    <t>Efrem Trusty</t>
  </si>
  <si>
    <t>Chet Scola</t>
  </si>
  <si>
    <t>Joane Lilloe</t>
  </si>
  <si>
    <t>Gonzales Kelsey</t>
  </si>
  <si>
    <t>Frasier Beal</t>
  </si>
  <si>
    <t>Iolanthe Laviss</t>
  </si>
  <si>
    <t>Dana Battaille</t>
  </si>
  <si>
    <t>Dion Mc Kellen</t>
  </si>
  <si>
    <t>Cynthia Eagger</t>
  </si>
  <si>
    <t>Esme Waison</t>
  </si>
  <si>
    <t>Fields Brigg</t>
  </si>
  <si>
    <t>Clemmy Dispencer</t>
  </si>
  <si>
    <t>Minnie Zanazzi</t>
  </si>
  <si>
    <t>Nichols Shillam</t>
  </si>
  <si>
    <t>Ruddy Willingham</t>
  </si>
  <si>
    <t>Jacques Wylder</t>
  </si>
  <si>
    <t>Idaline Valentetti</t>
  </si>
  <si>
    <t>Reinwald Redihough</t>
  </si>
  <si>
    <t>Pippa Antoniak</t>
  </si>
  <si>
    <t>Christin Roo</t>
  </si>
  <si>
    <t>Brook Vaughton</t>
  </si>
  <si>
    <t>Dorothee Davidsohn</t>
  </si>
  <si>
    <t>Kacy Fortoun</t>
  </si>
  <si>
    <t>Cathlene O'Sheilds</t>
  </si>
  <si>
    <t>Justen De Simoni</t>
  </si>
  <si>
    <t>Fifine Roundtree</t>
  </si>
  <si>
    <t>Dino 246</t>
  </si>
  <si>
    <t>Lolita Bastone</t>
  </si>
  <si>
    <t>Pepito Stuehmeyer</t>
  </si>
  <si>
    <t>Merl Gouldie</t>
  </si>
  <si>
    <t>Linda Acock</t>
  </si>
  <si>
    <t>Rafi Walcar</t>
  </si>
  <si>
    <t>Jacinthe Manlow</t>
  </si>
  <si>
    <t>Helga Fallowfield</t>
  </si>
  <si>
    <t>Hortensia Raulin</t>
  </si>
  <si>
    <t>Misti Leefe</t>
  </si>
  <si>
    <t>Vladamir Bisatt</t>
  </si>
  <si>
    <t>Gordie Erridge</t>
  </si>
  <si>
    <t>Charmane Burland</t>
  </si>
  <si>
    <t>Randene Thomas</t>
  </si>
  <si>
    <t>Hiram Carlisi</t>
  </si>
  <si>
    <t>Derk Quinney</t>
  </si>
  <si>
    <t>Jourdain Dellar</t>
  </si>
  <si>
    <t>Orv Van der Hoeven</t>
  </si>
  <si>
    <t>Petronille Ricioppo</t>
  </si>
  <si>
    <t>Orv Bezant</t>
  </si>
  <si>
    <t>Gunther Lamming</t>
  </si>
  <si>
    <t>Aaron Cattell</t>
  </si>
  <si>
    <t>Val Hugonet</t>
  </si>
  <si>
    <t>Bonnee Konke</t>
  </si>
  <si>
    <t>Garvy Wilks</t>
  </si>
  <si>
    <t>Meghan Archibold</t>
  </si>
  <si>
    <t>Edd Father</t>
  </si>
  <si>
    <t>Trix Twiggs</t>
  </si>
  <si>
    <t>Cheston Eshelby</t>
  </si>
  <si>
    <t>Salomone Downage</t>
  </si>
  <si>
    <t>Brenden German</t>
  </si>
  <si>
    <t>Doria Bendley</t>
  </si>
  <si>
    <t>Darb Cordey</t>
  </si>
  <si>
    <t>Dorisa Locke</t>
  </si>
  <si>
    <t>Juana Sapshed</t>
  </si>
  <si>
    <t>Boigie Sorrie</t>
  </si>
  <si>
    <t>Quentin Britto</t>
  </si>
  <si>
    <t>Hamnet Rattenberie</t>
  </si>
  <si>
    <t>Gerry Benns</t>
  </si>
  <si>
    <t>Zelma Gaymer</t>
  </si>
  <si>
    <t>Kim Snelgrove</t>
  </si>
  <si>
    <t>Diego Wessing</t>
  </si>
  <si>
    <t>Lorie Van der Beek</t>
  </si>
  <si>
    <t>Merv Gilder</t>
  </si>
  <si>
    <t>Cyrill Orrick</t>
  </si>
  <si>
    <t>Winslow Dealy</t>
  </si>
  <si>
    <t>Rakel Ardling</t>
  </si>
  <si>
    <t>Carrie Sleigh</t>
  </si>
  <si>
    <t>Galen Halliburton</t>
  </si>
  <si>
    <t>Berna Mussard</t>
  </si>
  <si>
    <t>Worthington Baldry</t>
  </si>
  <si>
    <t>Carmita Millbank</t>
  </si>
  <si>
    <t>Briny Krochmann</t>
  </si>
  <si>
    <t>Ethelbert Midgely</t>
  </si>
  <si>
    <t>Sylvan Giorgione</t>
  </si>
  <si>
    <t>Garik Donnell</t>
  </si>
  <si>
    <t>Trula Rainon</t>
  </si>
  <si>
    <t>Bond Galliard</t>
  </si>
  <si>
    <t>Aurelia Metzel</t>
  </si>
  <si>
    <t>Dav Hallawell</t>
  </si>
  <si>
    <t>Noel Selvey</t>
  </si>
  <si>
    <t>Sophi Bonnin</t>
  </si>
  <si>
    <t>Frederica Krzyzanowski</t>
  </si>
  <si>
    <t>Emelina Deluce</t>
  </si>
  <si>
    <t>Maddy Gunningham</t>
  </si>
  <si>
    <t>Zane Simukov</t>
  </si>
  <si>
    <t>Corie Gives</t>
  </si>
  <si>
    <t>Delmor Bunton</t>
  </si>
  <si>
    <t>Dukey Guwer</t>
  </si>
  <si>
    <t>Anette Poutress</t>
  </si>
  <si>
    <t>Corine Carmo</t>
  </si>
  <si>
    <t>Andie Warkup</t>
  </si>
  <si>
    <t>Lise Lubomirski</t>
  </si>
  <si>
    <t>Agustin Blazhevich</t>
  </si>
  <si>
    <t>Catharina Estrella</t>
  </si>
  <si>
    <t>Stefan Izchaki</t>
  </si>
  <si>
    <t>Lishe Petyanin</t>
  </si>
  <si>
    <t>Rosette Schleicher</t>
  </si>
  <si>
    <t>Maybelle Smythe</t>
  </si>
  <si>
    <t>Daisy Glaserman</t>
  </si>
  <si>
    <t>Amble Fake</t>
  </si>
  <si>
    <t>Miller Earie</t>
  </si>
  <si>
    <t>Chickie Pala</t>
  </si>
  <si>
    <t>Mychal Largan</t>
  </si>
  <si>
    <t>Glyn Seamen</t>
  </si>
  <si>
    <t>Blisse Ellingworth</t>
  </si>
  <si>
    <t>Meaghan Tyres</t>
  </si>
  <si>
    <t>Ethelyn Asser</t>
  </si>
  <si>
    <t>Charlena Sharland</t>
  </si>
  <si>
    <t>Bailey Chasson</t>
  </si>
  <si>
    <t>Lenore Cornels</t>
  </si>
  <si>
    <t>Lynnet Doy</t>
  </si>
  <si>
    <t>Caryl Edgler</t>
  </si>
  <si>
    <t>Norry Van Arsdall</t>
  </si>
  <si>
    <t>Lynnea Lamprey</t>
  </si>
  <si>
    <t>Napoleon Morrallee</t>
  </si>
  <si>
    <t>Kristo Oddboy</t>
  </si>
  <si>
    <t>Reinaldo Heaysman</t>
  </si>
  <si>
    <t>Bartolemo Garard</t>
  </si>
  <si>
    <t>Christie Forsdike</t>
  </si>
  <si>
    <t>Arnie O'Downe</t>
  </si>
  <si>
    <t>Lemar Brannigan</t>
  </si>
  <si>
    <t>Germaine Valiant</t>
  </si>
  <si>
    <t>Jolie Frodsham</t>
  </si>
  <si>
    <t>Dore Philippard</t>
  </si>
  <si>
    <t>Eleni Roux</t>
  </si>
  <si>
    <t>Annemarie Spottiswoode</t>
  </si>
  <si>
    <t>Gene Fawks</t>
  </si>
  <si>
    <t>Krisha Heppner</t>
  </si>
  <si>
    <t>Alonzo Epine</t>
  </si>
  <si>
    <t>Yasmeen Geraldini</t>
  </si>
  <si>
    <t>Magdalena Delieu</t>
  </si>
  <si>
    <t>Charline Martina</t>
  </si>
  <si>
    <t>Nicholle Roast</t>
  </si>
  <si>
    <t>Nero Simoens</t>
  </si>
  <si>
    <t>Kyla Lutzmann</t>
  </si>
  <si>
    <t>Falito Starten</t>
  </si>
  <si>
    <t>Alice Finlaison</t>
  </si>
  <si>
    <t>Roi Angeli</t>
  </si>
  <si>
    <t>Eleonore Blyth</t>
  </si>
  <si>
    <t>Melloney Priestland</t>
  </si>
  <si>
    <t>Maryjane Garrals</t>
  </si>
  <si>
    <t>Ricky Wenger</t>
  </si>
  <si>
    <t>Beatrice Baignard</t>
  </si>
  <si>
    <t>Eveleen Fardy</t>
  </si>
  <si>
    <t>Clevie Lambrick</t>
  </si>
  <si>
    <t>Carmel Gannicleff</t>
  </si>
  <si>
    <t>Candide Proctor</t>
  </si>
  <si>
    <t>Evy Beckford</t>
  </si>
  <si>
    <t>Pat Eggers</t>
  </si>
  <si>
    <t>Goldarina Cremins</t>
  </si>
  <si>
    <t>Sunny Salaman</t>
  </si>
  <si>
    <t>Carly Sloane</t>
  </si>
  <si>
    <t>Archer Dikle</t>
  </si>
  <si>
    <t>Madeline Strettle</t>
  </si>
  <si>
    <t>Yehudi Churcher</t>
  </si>
  <si>
    <t>Von Borg</t>
  </si>
  <si>
    <t>Giselbert Chung</t>
  </si>
  <si>
    <t>Bonny Stitson</t>
  </si>
  <si>
    <t>Marian Troak</t>
  </si>
  <si>
    <t>Carr Brownrigg</t>
  </si>
  <si>
    <t>Benedicto Johanchon</t>
  </si>
  <si>
    <t>Pauly Gate</t>
  </si>
  <si>
    <t>Gilli Van Merwe</t>
  </si>
  <si>
    <t>Neda Grotty</t>
  </si>
  <si>
    <t>Frederico Daout</t>
  </si>
  <si>
    <t>Chiquia Lippini</t>
  </si>
  <si>
    <t>Paulo Lindbergh</t>
  </si>
  <si>
    <t>Brande Ourtic</t>
  </si>
  <si>
    <t>Nikolaus Collopy</t>
  </si>
  <si>
    <t>Mela Lattos</t>
  </si>
  <si>
    <t>Wilt Bunning</t>
  </si>
  <si>
    <t>Corena Padkin</t>
  </si>
  <si>
    <t>Syd Klement</t>
  </si>
  <si>
    <t>Alwin Thumann</t>
  </si>
  <si>
    <t>Cairistiona Giorgetti</t>
  </si>
  <si>
    <t>Harlene Wickens</t>
  </si>
  <si>
    <t>Barbabra Lube</t>
  </si>
  <si>
    <t>Florina McCaughan</t>
  </si>
  <si>
    <t>Gloria Heinritz</t>
  </si>
  <si>
    <t>Loralie Cocker</t>
  </si>
  <si>
    <t>Queenie Pitceathly</t>
  </si>
  <si>
    <t>Alfons Skyrme</t>
  </si>
  <si>
    <t>308 GTS</t>
  </si>
  <si>
    <t>Lyle Dawley</t>
  </si>
  <si>
    <t>Dinnie Roels</t>
  </si>
  <si>
    <t>Matthew Kennally</t>
  </si>
  <si>
    <t>Ludovico O'Sheilds</t>
  </si>
  <si>
    <t>Elihu Keerl</t>
  </si>
  <si>
    <t>Ailee Penrice</t>
  </si>
  <si>
    <t>Cassy Somersett</t>
  </si>
  <si>
    <t>Haroun Birkwood</t>
  </si>
  <si>
    <t>Flint Parades</t>
  </si>
  <si>
    <t>LaFerrari</t>
  </si>
  <si>
    <t>Carver Dows</t>
  </si>
  <si>
    <t>Antoinette Coad</t>
  </si>
  <si>
    <t>Kiley Gillham</t>
  </si>
  <si>
    <t>Marita Boucher</t>
  </si>
  <si>
    <t>Dyane Silbert</t>
  </si>
  <si>
    <t>Nicola Rackstraw</t>
  </si>
  <si>
    <t>Tedda Attenbrow</t>
  </si>
  <si>
    <t>Shelagh Chiswell</t>
  </si>
  <si>
    <t>Tomasina Petasch</t>
  </si>
  <si>
    <t>Currie Kamien</t>
  </si>
  <si>
    <t>Dania Marunchak</t>
  </si>
  <si>
    <t>Justine Rake</t>
  </si>
  <si>
    <t>Skippie Duffie</t>
  </si>
  <si>
    <t>Megen Phippard</t>
  </si>
  <si>
    <t>Miguelita Masse</t>
  </si>
  <si>
    <t>Ibrahim Lippett</t>
  </si>
  <si>
    <t>Therine Iacomi</t>
  </si>
  <si>
    <t>Lanette Gerler</t>
  </si>
  <si>
    <t>Thatch Lipscombe</t>
  </si>
  <si>
    <t>Nicholas Blade</t>
  </si>
  <si>
    <t>Linnet Burcher</t>
  </si>
  <si>
    <t>Emmanuel Tinker</t>
  </si>
  <si>
    <t>Frieda Mallen</t>
  </si>
  <si>
    <t>Madel Leap</t>
  </si>
  <si>
    <t>Eartha Rostern</t>
  </si>
  <si>
    <t>Othilia Bufton</t>
  </si>
  <si>
    <t>Jacki Tukesby</t>
  </si>
  <si>
    <t>Cletus Beacon</t>
  </si>
  <si>
    <t>Belvia Iddon</t>
  </si>
  <si>
    <t>Braden Scrimshire</t>
  </si>
  <si>
    <t>Elliot McInnery</t>
  </si>
  <si>
    <t>Paula Phethean</t>
  </si>
  <si>
    <t>Celesta Gobell</t>
  </si>
  <si>
    <t>Morgen Tatlowe</t>
  </si>
  <si>
    <t>Berny Siddele</t>
  </si>
  <si>
    <t>Peterus Innott</t>
  </si>
  <si>
    <t>Laina Height</t>
  </si>
  <si>
    <t>Hermione Oxburgh</t>
  </si>
  <si>
    <t>Roze Francois</t>
  </si>
  <si>
    <t>Mickey Lewinton</t>
  </si>
  <si>
    <t>Mordecai Studeart</t>
  </si>
  <si>
    <t>Bentley Romayn</t>
  </si>
  <si>
    <t>Marty Losbie</t>
  </si>
  <si>
    <t>Lari Yaldren</t>
  </si>
  <si>
    <t>Almeria Teasdale-Markie</t>
  </si>
  <si>
    <t>Zachery Flecknell</t>
  </si>
  <si>
    <t>Nelson Flewitt</t>
  </si>
  <si>
    <t>Alessandro Walshaw</t>
  </si>
  <si>
    <t>Vera Hanning</t>
  </si>
  <si>
    <t>Abba Kingcott</t>
  </si>
  <si>
    <t>Pavel Cluet</t>
  </si>
  <si>
    <t>Kirsten Dat</t>
  </si>
  <si>
    <t>Rad Sarsfield</t>
  </si>
  <si>
    <t>Malissa Bubb</t>
  </si>
  <si>
    <t>Kristi Barok</t>
  </si>
  <si>
    <t>Karalee Clooney</t>
  </si>
  <si>
    <t>Row Leonard</t>
  </si>
  <si>
    <t>Bonny Cordelette</t>
  </si>
  <si>
    <t>Bria Fisbey</t>
  </si>
  <si>
    <t>Rand Dunley</t>
  </si>
  <si>
    <t>Lauri Cullinan</t>
  </si>
  <si>
    <t>Walton Ambrosetti</t>
  </si>
  <si>
    <t>Radcliffe Brownscombe</t>
  </si>
  <si>
    <t>Haily O'Growgane</t>
  </si>
  <si>
    <t>Dalila Kille</t>
  </si>
  <si>
    <t>Moreen Nuzzti</t>
  </si>
  <si>
    <t>Brice Mangeot</t>
  </si>
  <si>
    <t>Temp Pressland</t>
  </si>
  <si>
    <t>Janine Blackhurst</t>
  </si>
  <si>
    <t>Wilmette Wrathmell</t>
  </si>
  <si>
    <t>Burch Sappson</t>
  </si>
  <si>
    <t>Anna-maria McGaw</t>
  </si>
  <si>
    <t>Vernon Swapp</t>
  </si>
  <si>
    <t>Dominic Lilley</t>
  </si>
  <si>
    <t>Marcile Trumble</t>
  </si>
  <si>
    <t>Daphene Kulicke</t>
  </si>
  <si>
    <t>Camellia Vittet</t>
  </si>
  <si>
    <t>Costa Muffin</t>
  </si>
  <si>
    <t>Lennie Skyme</t>
  </si>
  <si>
    <t>Leila Skains</t>
  </si>
  <si>
    <t>Codi McPhail</t>
  </si>
  <si>
    <t>Emlynne Kinman</t>
  </si>
  <si>
    <t>Rosabella Jillions</t>
  </si>
  <si>
    <t>Caprice Sheridan</t>
  </si>
  <si>
    <t>Floyd Buckham</t>
  </si>
  <si>
    <t>Janeen Brankley</t>
  </si>
  <si>
    <t>Merry Kondratenko</t>
  </si>
  <si>
    <t>Cull Uttermare</t>
  </si>
  <si>
    <t>Karim Risbridger</t>
  </si>
  <si>
    <t>Melonie McCallion</t>
  </si>
  <si>
    <t>Geoffry Stollwerck</t>
  </si>
  <si>
    <t>Noelle Dollen</t>
  </si>
  <si>
    <t>Milzie Cometson</t>
  </si>
  <si>
    <t>Uri Trood</t>
  </si>
  <si>
    <t>Iggie Danahar</t>
  </si>
  <si>
    <t>Dare Seeking</t>
  </si>
  <si>
    <t>Waldemar Lismore</t>
  </si>
  <si>
    <t>Pascal Gosnell</t>
  </si>
  <si>
    <t>Rochester Matousek</t>
  </si>
  <si>
    <t>Tansy Jurczik</t>
  </si>
  <si>
    <t>Obidiah Leijs</t>
  </si>
  <si>
    <t>Tommy Sugge</t>
  </si>
  <si>
    <t>Goldi Dyerson</t>
  </si>
  <si>
    <t>Casi Van de Vlies</t>
  </si>
  <si>
    <t>Meyer Conyard</t>
  </si>
  <si>
    <t>Zonda Everill</t>
  </si>
  <si>
    <t>Kellina Worsnap</t>
  </si>
  <si>
    <t>Fayina Dilkes</t>
  </si>
  <si>
    <t>Neil Merrington</t>
  </si>
  <si>
    <t>Forester Fullard</t>
  </si>
  <si>
    <t>Charlton Carnock</t>
  </si>
  <si>
    <t>Nell Kinghorn</t>
  </si>
  <si>
    <t>Augusto Itscowicz</t>
  </si>
  <si>
    <t>Marve Hirjak</t>
  </si>
  <si>
    <t>Owen Crocket</t>
  </si>
  <si>
    <t>Iris Scripture</t>
  </si>
  <si>
    <t>Padget Emmot</t>
  </si>
  <si>
    <t>Sidonnie Lomax</t>
  </si>
  <si>
    <t>Jozef Cardenas</t>
  </si>
  <si>
    <t>Millicent Rhelton</t>
  </si>
  <si>
    <t>Joya Kingsbury</t>
  </si>
  <si>
    <t>Cloris Bony</t>
  </si>
  <si>
    <t>Saudra Eard</t>
  </si>
  <si>
    <t>Mitchell Keyzor</t>
  </si>
  <si>
    <t>Jordain Grellier</t>
  </si>
  <si>
    <t>Jordan Sheekey</t>
  </si>
  <si>
    <t>Dorisa Pigrome</t>
  </si>
  <si>
    <t>Emilee Jessopp</t>
  </si>
  <si>
    <t>Ora Bachura</t>
  </si>
  <si>
    <t>Hazel Steadman</t>
  </si>
  <si>
    <t>Frayda Bruhnsen</t>
  </si>
  <si>
    <t>Lilian Gibbons</t>
  </si>
  <si>
    <t>Melisa Markova</t>
  </si>
  <si>
    <t>Reg Brownlow</t>
  </si>
  <si>
    <t>Isa Laycock</t>
  </si>
  <si>
    <t>Marve Shingfield</t>
  </si>
  <si>
    <t>Alexandros Barday</t>
  </si>
  <si>
    <t>Dill Acutt</t>
  </si>
  <si>
    <t>Preston Grayer</t>
  </si>
  <si>
    <t>Virgie McEwan</t>
  </si>
  <si>
    <t>Porty Erridge</t>
  </si>
  <si>
    <t>Millicent Barth</t>
  </si>
  <si>
    <t>Perrine Emig</t>
  </si>
  <si>
    <t>Karine Sauniere</t>
  </si>
  <si>
    <t>Jodie Hobbert</t>
  </si>
  <si>
    <t>Shandra Curr</t>
  </si>
  <si>
    <t>Joyan Duddle</t>
  </si>
  <si>
    <t>Darryl Loughran</t>
  </si>
  <si>
    <t>Klaus Ronisch</t>
  </si>
  <si>
    <t>Ralf Ridett</t>
  </si>
  <si>
    <t>Noah Vignaux</t>
  </si>
  <si>
    <t>Otha Aronstam</t>
  </si>
  <si>
    <t>La verne Yakunikov</t>
  </si>
  <si>
    <t>Conant Scowen</t>
  </si>
  <si>
    <t>Toinette Aldine</t>
  </si>
  <si>
    <t>Wandis Grahlman</t>
  </si>
  <si>
    <t>Neal Mifflin</t>
  </si>
  <si>
    <t>Mandy Wadsworth</t>
  </si>
  <si>
    <t>Erskine Geffinger</t>
  </si>
  <si>
    <t>Erik Banyard</t>
  </si>
  <si>
    <t>Stephi Fache</t>
  </si>
  <si>
    <t>Osgood Lamey</t>
  </si>
  <si>
    <t>Donny Paddemore</t>
  </si>
  <si>
    <t>Paulo Danels</t>
  </si>
  <si>
    <t>Deeanne Gourlay</t>
  </si>
  <si>
    <t>Rozamond Blade</t>
  </si>
  <si>
    <t>Hildegaard Skipper</t>
  </si>
  <si>
    <t>Kinny Jozefczak</t>
  </si>
  <si>
    <t>Bartolemo Aery</t>
  </si>
  <si>
    <t>Sharron Jaquet</t>
  </si>
  <si>
    <t>Jule Leeke</t>
  </si>
  <si>
    <t>Bret Lettley</t>
  </si>
  <si>
    <t>Gamaliel Masters</t>
  </si>
  <si>
    <t>Vinnie Ceci</t>
  </si>
  <si>
    <t>Elset Ivantsov</t>
  </si>
  <si>
    <t>Homerus Richen</t>
  </si>
  <si>
    <t>Andrei Jowett</t>
  </si>
  <si>
    <t>Reynold Goodram</t>
  </si>
  <si>
    <t>Hasty Beel</t>
  </si>
  <si>
    <t>Krystyna Kienzle</t>
  </si>
  <si>
    <t>Rebe Mumberson</t>
  </si>
  <si>
    <t>Berty De Cristoforo</t>
  </si>
  <si>
    <t>Fraser Nyssen</t>
  </si>
  <si>
    <t>Harmonia Impleton</t>
  </si>
  <si>
    <t>Forrester Nyland</t>
  </si>
  <si>
    <t>Selle Gibling</t>
  </si>
  <si>
    <t>Reynold Sawday</t>
  </si>
  <si>
    <t>Jania Muge</t>
  </si>
  <si>
    <t>Ag Rutty</t>
  </si>
  <si>
    <t>Sinclare Jurca</t>
  </si>
  <si>
    <t>Cati Beckett</t>
  </si>
  <si>
    <t>Selby Mossop</t>
  </si>
  <si>
    <t>Lazare Khidr</t>
  </si>
  <si>
    <t>Jamie Gandy</t>
  </si>
  <si>
    <t>Jaye Ceeley</t>
  </si>
  <si>
    <t>Cornell Middle</t>
  </si>
  <si>
    <t>Haily Hardesty</t>
  </si>
  <si>
    <t>Maurita Durie</t>
  </si>
  <si>
    <t>Marin Humphrey</t>
  </si>
  <si>
    <t>Cristobal Marcussen</t>
  </si>
  <si>
    <t>Giustina Kiebes</t>
  </si>
  <si>
    <t>Dale Bartczak</t>
  </si>
  <si>
    <t>Daveta Argile</t>
  </si>
  <si>
    <t>Tory MacNamee</t>
  </si>
  <si>
    <t>Orelee Peagrim</t>
  </si>
  <si>
    <t>Anders Ellen</t>
  </si>
  <si>
    <t>Gayle Artis</t>
  </si>
  <si>
    <t>Joye Elderfield</t>
  </si>
  <si>
    <t>Gregorius Burdekin</t>
  </si>
  <si>
    <t>Janet Gascoyen</t>
  </si>
  <si>
    <t>Dehlia Martinovsky</t>
  </si>
  <si>
    <t>Almeda Kiwitz</t>
  </si>
  <si>
    <t>Gabe Speers</t>
  </si>
  <si>
    <t>Uta Thundercliffe</t>
  </si>
  <si>
    <t>Robers Davson</t>
  </si>
  <si>
    <t>Doris Borell</t>
  </si>
  <si>
    <t>Berke Pedican</t>
  </si>
  <si>
    <t>Chloe Giacomini</t>
  </si>
  <si>
    <t>Richardo Ionn</t>
  </si>
  <si>
    <t>Estrella Parsley</t>
  </si>
  <si>
    <t>Raddy O'Sherin</t>
  </si>
  <si>
    <t>Pyotr Pentycross</t>
  </si>
  <si>
    <t>Delila Snoddon</t>
  </si>
  <si>
    <t>Mellisent Gasnell</t>
  </si>
  <si>
    <t>Hyman Beeckx</t>
  </si>
  <si>
    <t>Oliviero Supple</t>
  </si>
  <si>
    <t>Jenna Aggas</t>
  </si>
  <si>
    <t>Wendie Rawlyns</t>
  </si>
  <si>
    <t>Nevil Bocock</t>
  </si>
  <si>
    <t>Sergio Oats</t>
  </si>
  <si>
    <t>Sharron Gounet</t>
  </si>
  <si>
    <t>Alexina Orthmann</t>
  </si>
  <si>
    <t>Jen Colloby</t>
  </si>
  <si>
    <t>Cristen Laker</t>
  </si>
  <si>
    <t>Delphine Matteris</t>
  </si>
  <si>
    <t>Camala Gerrietz</t>
  </si>
  <si>
    <t>Cynthea Greatbanks</t>
  </si>
  <si>
    <t>Roselia Jenicek</t>
  </si>
  <si>
    <t>Cyb Fonte</t>
  </si>
  <si>
    <t>Jason Stukings</t>
  </si>
  <si>
    <t>Lorita Peasby</t>
  </si>
  <si>
    <t>Stafani Tylor</t>
  </si>
  <si>
    <t>Chevy Huxstep</t>
  </si>
  <si>
    <t>Corenda Cassell</t>
  </si>
  <si>
    <t>Georgette Terne</t>
  </si>
  <si>
    <t>Nichole Culpin</t>
  </si>
  <si>
    <t>Fidelia Kirlin</t>
  </si>
  <si>
    <t>Talbert Crompton</t>
  </si>
  <si>
    <t>Tarra Fyers</t>
  </si>
  <si>
    <t>Kissiah Jellis</t>
  </si>
  <si>
    <t>Zach Meardon</t>
  </si>
  <si>
    <t>Donavon Godly</t>
  </si>
  <si>
    <t>Ines Cockrell</t>
  </si>
  <si>
    <t>Fin Wylder</t>
  </si>
  <si>
    <t>Arlen Hammatt</t>
  </si>
  <si>
    <t>Anne-marie Tofts</t>
  </si>
  <si>
    <t>Jacky Cartan</t>
  </si>
  <si>
    <t>Hewitt Colliver</t>
  </si>
  <si>
    <t>Cristine De Hoogh</t>
  </si>
  <si>
    <t>Ruddy Gosland</t>
  </si>
  <si>
    <t>Winonah Trivett</t>
  </si>
  <si>
    <t>Loria McKeller</t>
  </si>
  <si>
    <t>Cord Nertney</t>
  </si>
  <si>
    <t>Merrilee Grishakin</t>
  </si>
  <si>
    <t>Ingar Neagle</t>
  </si>
  <si>
    <t>Ilaire Sedgefield</t>
  </si>
  <si>
    <t>Elijah Ettridge</t>
  </si>
  <si>
    <t>Chevalier Hardwicke</t>
  </si>
  <si>
    <t>Corliss Nuttall</t>
  </si>
  <si>
    <t>Nathan Muehle</t>
  </si>
  <si>
    <t>Zelda Mault</t>
  </si>
  <si>
    <t>Redd Barrington</t>
  </si>
  <si>
    <t>Daisie Huggons</t>
  </si>
  <si>
    <t>Karena Whardley</t>
  </si>
  <si>
    <t>Alair Rennebeck</t>
  </si>
  <si>
    <t>Dory Groundwator</t>
  </si>
  <si>
    <t>Bryce Mallan</t>
  </si>
  <si>
    <t>Risa Hains</t>
  </si>
  <si>
    <t>Claiborne Bailes</t>
  </si>
  <si>
    <t>Jerrome Tremlett</t>
  </si>
  <si>
    <t>Dorris Rebillard</t>
  </si>
  <si>
    <t>Rubin Northam</t>
  </si>
  <si>
    <t>Bordie Grunder</t>
  </si>
  <si>
    <t>Kev Gogie</t>
  </si>
  <si>
    <t>Lenna Knotton</t>
  </si>
  <si>
    <t>Bernard Jahncke</t>
  </si>
  <si>
    <t>Corine Muspratt</t>
  </si>
  <si>
    <t>Gene Accum</t>
  </si>
  <si>
    <t>Myrta Curteis</t>
  </si>
  <si>
    <t>Cyndia Neilands</t>
  </si>
  <si>
    <t>Nealon Darton</t>
  </si>
  <si>
    <t>Caroline Mickelwright</t>
  </si>
  <si>
    <t>Olivette Acland</t>
  </si>
  <si>
    <t>Del Tremblot</t>
  </si>
  <si>
    <t>Josey Whatmough</t>
  </si>
  <si>
    <t>Eulalie Fahey</t>
  </si>
  <si>
    <t>Shina Troillet</t>
  </si>
  <si>
    <t>Benedict Skeffington</t>
  </si>
  <si>
    <t>Isahella Abley</t>
  </si>
  <si>
    <t>Sheridan Island</t>
  </si>
  <si>
    <t>Eugenie Sugden</t>
  </si>
  <si>
    <t>Fern Manshaw</t>
  </si>
  <si>
    <t>Robinetta Nash</t>
  </si>
  <si>
    <t>Tiffani McLenahan</t>
  </si>
  <si>
    <t>Peta Dockwra</t>
  </si>
  <si>
    <t>Barbabra Johannesson</t>
  </si>
  <si>
    <t>Olva De Luna</t>
  </si>
  <si>
    <t>Gale Farryann</t>
  </si>
  <si>
    <t>Karia Pounsett</t>
  </si>
  <si>
    <t>Alec Marikhin</t>
  </si>
  <si>
    <t>Iain Ferreira</t>
  </si>
  <si>
    <t>Leonard Critchell</t>
  </si>
  <si>
    <t>Ariel Curston</t>
  </si>
  <si>
    <t>Ynes Olivi</t>
  </si>
  <si>
    <t>Dasha Brame</t>
  </si>
  <si>
    <t>Marijn Pechet</t>
  </si>
  <si>
    <t>Roth Chasteney</t>
  </si>
  <si>
    <t>Babs Kimble</t>
  </si>
  <si>
    <t>Myrtice Saunter</t>
  </si>
  <si>
    <t>Saundra Yalden</t>
  </si>
  <si>
    <t>Armin O'Dea</t>
  </si>
  <si>
    <t>Suzann Yendle</t>
  </si>
  <si>
    <t>Felice Iliffe</t>
  </si>
  <si>
    <t>Bradney Howlings</t>
  </si>
  <si>
    <t>Aubree Gothrup</t>
  </si>
  <si>
    <t>Barn Bagnal</t>
  </si>
  <si>
    <t>Geraldine Spellecy</t>
  </si>
  <si>
    <t>Corly Hicks</t>
  </si>
  <si>
    <t>Quintana Tavernor</t>
  </si>
  <si>
    <t>Fina Renals</t>
  </si>
  <si>
    <t>Emelda Sturge</t>
  </si>
  <si>
    <t>Riane Rolingson</t>
  </si>
  <si>
    <t>Kristofor Woodfield</t>
  </si>
  <si>
    <t>Henry Baxandall</t>
  </si>
  <si>
    <t>Melody Newnham</t>
  </si>
  <si>
    <t>Cindy Lombard</t>
  </si>
  <si>
    <t>Redford Evenett</t>
  </si>
  <si>
    <t>Kamilah Jerrard</t>
  </si>
  <si>
    <t>Duff Bougen</t>
  </si>
  <si>
    <t>Laverne Kornyakov</t>
  </si>
  <si>
    <t>Delores Morfett</t>
  </si>
  <si>
    <t>Tymothy Longhi</t>
  </si>
  <si>
    <t>Nevin Bedingfield</t>
  </si>
  <si>
    <t>Jehu Kybbye</t>
  </si>
  <si>
    <t>Kellina Letch</t>
  </si>
  <si>
    <t>Berna Mabb</t>
  </si>
  <si>
    <t>Martie Phette</t>
  </si>
  <si>
    <t>Hannis Jiroutek</t>
  </si>
  <si>
    <t>Evvie Osanne</t>
  </si>
  <si>
    <t>Darleen Zum Felde</t>
  </si>
  <si>
    <t>Brandy Chellam</t>
  </si>
  <si>
    <t>Brad Shipton</t>
  </si>
  <si>
    <t>Red Grocutt</t>
  </si>
  <si>
    <t>Izzy Tineman</t>
  </si>
  <si>
    <t>Terrie Ramme</t>
  </si>
  <si>
    <t>Kipp Greenard</t>
  </si>
  <si>
    <t>Britta Merrydew</t>
  </si>
  <si>
    <t>Frederique Moneypenny</t>
  </si>
  <si>
    <t>Rebekah Simonich</t>
  </si>
  <si>
    <t>Hirsch Bartels-Ellis</t>
  </si>
  <si>
    <t>Catlin Gleder</t>
  </si>
  <si>
    <t>Farand Dumsday</t>
  </si>
  <si>
    <t>Amabel Sallinger</t>
  </si>
  <si>
    <t>Meghan Luchelli</t>
  </si>
  <si>
    <t>Pippo Oakenfall</t>
  </si>
  <si>
    <t>Tanhya Mion</t>
  </si>
  <si>
    <t>Taylor Glanister</t>
  </si>
  <si>
    <t>Rosie Smedmoor</t>
  </si>
  <si>
    <t>Lurette Morfell</t>
  </si>
  <si>
    <t>Kevina Scranedge</t>
  </si>
  <si>
    <t>Jocelyne Mobberley</t>
  </si>
  <si>
    <t>Forrest Shearsby</t>
  </si>
  <si>
    <t>Winston Wildor</t>
  </si>
  <si>
    <t>Eloisa Tellett</t>
  </si>
  <si>
    <t>Gabe Extil</t>
  </si>
  <si>
    <t>Karalee Faithorn</t>
  </si>
  <si>
    <t>Davey Lamberth</t>
  </si>
  <si>
    <t>Kary Moutray Read</t>
  </si>
  <si>
    <t>Colver Waterfield</t>
  </si>
  <si>
    <t>Trudie Guynemer</t>
  </si>
  <si>
    <t>Saba Pooly</t>
  </si>
  <si>
    <t>Rossy Cathersides</t>
  </si>
  <si>
    <t>Liz Coucha</t>
  </si>
  <si>
    <t>Roseann Foye</t>
  </si>
  <si>
    <t>Cristie Goodie</t>
  </si>
  <si>
    <t>Valle Sandifer</t>
  </si>
  <si>
    <t>Brendan MacMarcuis</t>
  </si>
  <si>
    <t>Marie-ann Broggelli</t>
  </si>
  <si>
    <t>Fraser Aldington</t>
  </si>
  <si>
    <t>Lindi Bore</t>
  </si>
  <si>
    <t>Jaye Weiser</t>
  </si>
  <si>
    <t>Cosimo Eyers</t>
  </si>
  <si>
    <t>Verge Abell</t>
  </si>
  <si>
    <t>Persis Warsop</t>
  </si>
  <si>
    <t>Sigismond Bapty</t>
  </si>
  <si>
    <t>Ranna Lafflin</t>
  </si>
  <si>
    <t>Humberto Cahillane</t>
  </si>
  <si>
    <t>Fowler Pinnington</t>
  </si>
  <si>
    <t>Grace Spurryer</t>
  </si>
  <si>
    <t>Cristobal Wagg</t>
  </si>
  <si>
    <t>Myrilla Brotherhood</t>
  </si>
  <si>
    <t>Casey Brend</t>
  </si>
  <si>
    <t>Brittaney Norvell</t>
  </si>
  <si>
    <t>Sloane Brewster</t>
  </si>
  <si>
    <t>Marcy Simonich</t>
  </si>
  <si>
    <t>Krista McEvilly</t>
  </si>
  <si>
    <t>Kaylee Purshouse</t>
  </si>
  <si>
    <t>Oren Ruddell</t>
  </si>
  <si>
    <t>Yard Gostall</t>
  </si>
  <si>
    <t>Chris Deboick</t>
  </si>
  <si>
    <t>Grayce Sancraft</t>
  </si>
  <si>
    <t>Clayborn Chew</t>
  </si>
  <si>
    <t>York Shapero</t>
  </si>
  <si>
    <t>Stevy Newark</t>
  </si>
  <si>
    <t>Roda Shutt</t>
  </si>
  <si>
    <t>Lee Crutchfield</t>
  </si>
  <si>
    <t>Milli Stirrup</t>
  </si>
  <si>
    <t>Tommy Colt</t>
  </si>
  <si>
    <t>Sukey Casetta</t>
  </si>
  <si>
    <t>Ilyse Perello</t>
  </si>
  <si>
    <t>Jenni Spuner</t>
  </si>
  <si>
    <t>Daphene Iceton</t>
  </si>
  <si>
    <t>Meta Mee</t>
  </si>
  <si>
    <t>Anthe Imlach</t>
  </si>
  <si>
    <t>Rad Oxterby</t>
  </si>
  <si>
    <t>Emmaline O'Fallon</t>
  </si>
  <si>
    <t>Gilda Golsworthy</t>
  </si>
  <si>
    <t>Alphonso Saulter</t>
  </si>
  <si>
    <t>Jaimie Stagg</t>
  </si>
  <si>
    <t>Alix Voller</t>
  </si>
  <si>
    <t>Andrus Barrat</t>
  </si>
  <si>
    <t>Aimee Gansbuhler</t>
  </si>
  <si>
    <t>Erik Antley</t>
  </si>
  <si>
    <t>Lyon Brimblecomb</t>
  </si>
  <si>
    <t>Horacio Dollard</t>
  </si>
  <si>
    <t>Aba de apoio: tudo aqui é calculado a partir da Base e dos filtros do Dashboard.</t>
  </si>
  <si>
    <t>Listas dos filtros</t>
  </si>
  <si>
    <t>KPIs</t>
  </si>
  <si>
    <t>Marcas</t>
  </si>
  <si>
    <t>Marcas (ordenado)</t>
  </si>
  <si>
    <t>Anos</t>
  </si>
  <si>
    <t>Países</t>
  </si>
  <si>
    <t>Indicador</t>
  </si>
  <si>
    <t>Valor</t>
  </si>
  <si>
    <t>Item</t>
  </si>
  <si>
    <t>Ajuste</t>
  </si>
  <si>
    <t>Ticket médio</t>
  </si>
  <si>
    <t>Faturamento ano anterior</t>
  </si>
  <si>
    <t>Variação vs ano anterior</t>
  </si>
  <si>
    <t>Países (ordenado)</t>
  </si>
  <si>
    <t>Mensal</t>
  </si>
  <si>
    <t>Período</t>
  </si>
  <si>
    <t>Ano anterior</t>
  </si>
  <si>
    <t>Nº mês</t>
  </si>
  <si>
    <t>Jan</t>
  </si>
  <si>
    <t>Fev</t>
  </si>
  <si>
    <t>Mar</t>
  </si>
  <si>
    <t>Abr</t>
  </si>
  <si>
    <t>Mai</t>
  </si>
  <si>
    <t>Jun</t>
  </si>
  <si>
    <t>Jul</t>
  </si>
  <si>
    <t>Ago</t>
  </si>
  <si>
    <t>Modelos</t>
  </si>
  <si>
    <t>Modelos (ordenado)</t>
  </si>
  <si>
    <t>Set</t>
  </si>
  <si>
    <t>Out</t>
  </si>
  <si>
    <t>Nov</t>
  </si>
  <si>
    <t>Dez</t>
  </si>
  <si>
    <t>Anual (ignora filtro de ano)</t>
  </si>
  <si>
    <t>2013</t>
  </si>
  <si>
    <t>2014</t>
  </si>
  <si>
    <t>2015</t>
  </si>
  <si>
    <t>2016</t>
  </si>
  <si>
    <t>2017</t>
  </si>
  <si>
    <t>2018</t>
  </si>
  <si>
    <t>2019</t>
  </si>
  <si>
    <t>2020</t>
  </si>
</sst>
</file>

<file path=xl/styles.xml><?xml version="1.0" encoding="utf-8"?>
<styleSheet xmlns="http://schemas.openxmlformats.org/spreadsheetml/2006/main">
  <numFmts count="5">
    <numFmt numFmtId="165" formatCode="&quot;R$&quot;\ #,##0.00"/>
    <numFmt numFmtId="166" formatCode="&quot;R$&quot;\ #,##0"/>
    <numFmt numFmtId="167" formatCode="0.0%"/>
    <numFmt numFmtId="168" formatCode="[&gt;=1000000]&quot;R$&quot;\ #,##0.0,,&quot;M&quot;;[&gt;=1000]&quot;R$&quot;\ #,##0,&quot;mil&quot;;&quot;R$&quot;\ #,##0"/>
    <numFmt numFmtId="169" formatCode="\+0.0%;\-0.0%;0.0%"/>
  </numFmts>
  <fonts count="13">
    <font>
      <sz val="11"/>
      <color theme="1"/>
      <name val="Calibri"/>
      <family val="2"/>
      <scheme val="minor"/>
    </font>
    <font>
      <i/>
      <sz val="11"/>
      <color rgb="FF757575"/>
      <name val="Calibri"/>
    </font>
    <font>
      <b/>
      <sz val="11"/>
      <color rgb="FF1565C0"/>
      <name val="Calibri"/>
    </font>
    <font>
      <b/>
      <sz val="11"/>
      <color rgb="FFFFFFFF"/>
      <name val="Calibri"/>
    </font>
    <font>
      <b/>
      <sz val="20"/>
      <color rgb="FFFFFFFF"/>
      <name val="Calibri"/>
    </font>
    <font>
      <sz val="10"/>
      <color rgb="FFBBDEFB"/>
      <name val="Calibri"/>
    </font>
    <font>
      <b/>
      <sz val="12"/>
      <color rgb="FF0D47A1"/>
      <name val="Calibri"/>
    </font>
    <font>
      <i/>
      <sz val="9"/>
      <color rgb="FF757575"/>
      <name val="Calibri"/>
    </font>
    <font>
      <b/>
      <sz val="9"/>
      <color rgb="FFBBDEFB"/>
      <name val="Calibri"/>
    </font>
    <font>
      <b/>
      <sz val="18"/>
      <color rgb="FFFFFFFF"/>
      <name val="Calibri"/>
    </font>
    <font>
      <i/>
      <sz val="8"/>
      <color rgb="FF757575"/>
      <name val="Calibri"/>
    </font>
    <font>
      <b/>
      <sz val="12"/>
      <color rgb="FF1565C0"/>
      <name val="Calibri"/>
    </font>
    <font>
      <sz val="9"/>
      <color rgb="FF424242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111111"/>
      </patternFill>
    </fill>
    <fill>
      <patternFill patternType="solid">
        <fgColor rgb="FFE3F2FD"/>
      </patternFill>
    </fill>
    <fill>
      <patternFill patternType="solid">
        <fgColor rgb="FF0D47A1"/>
      </patternFill>
    </fill>
    <fill>
      <patternFill patternType="solid">
        <fgColor rgb="FFF5F9FF"/>
      </patternFill>
    </fill>
  </fills>
  <borders count="3">
    <border>
      <left/>
      <right/>
      <top/>
      <bottom/>
      <diagonal/>
    </border>
    <border>
      <left style="medium">
        <color rgb="FF1565C0"/>
      </left>
      <right style="medium">
        <color rgb="FF1565C0"/>
      </right>
      <top style="medium">
        <color rgb="FF1565C0"/>
      </top>
      <bottom style="medium">
        <color rgb="FF1565C0"/>
      </bottom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3" borderId="0" xfId="0" applyFill="1"/>
    <xf numFmtId="0" fontId="4" fillId="3" borderId="0" xfId="0" applyFont="1" applyFill="1"/>
    <xf numFmtId="0" fontId="5" fillId="3" borderId="0" xfId="0" applyFont="1" applyFill="1"/>
    <xf numFmtId="0" fontId="2" fillId="0" borderId="0" xfId="0" applyFont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7" fillId="0" borderId="0" xfId="0" applyFont="1"/>
    <xf numFmtId="0" fontId="10" fillId="0" borderId="0" xfId="0" applyFont="1"/>
    <xf numFmtId="0" fontId="11" fillId="0" borderId="0" xfId="0" applyFont="1"/>
    <xf numFmtId="0" fontId="3" fillId="3" borderId="0" xfId="0" applyFont="1" applyFill="1"/>
    <xf numFmtId="0" fontId="0" fillId="6" borderId="2" xfId="0" applyFill="1" applyBorder="1" applyAlignment="1">
      <alignment horizontal="center"/>
    </xf>
    <xf numFmtId="0" fontId="12" fillId="0" borderId="0" xfId="0" applyFont="1"/>
    <xf numFmtId="0" fontId="0" fillId="0" borderId="2" xfId="0" applyBorder="1" applyAlignment="1">
      <alignment horizontal="center"/>
    </xf>
    <xf numFmtId="14" fontId="0" fillId="0" borderId="0" xfId="0" applyNumberFormat="1"/>
    <xf numFmtId="165" fontId="0" fillId="0" borderId="0" xfId="0" applyNumberFormat="1"/>
    <xf numFmtId="0" fontId="1" fillId="0" borderId="0" xfId="0" applyFont="1"/>
    <xf numFmtId="0" fontId="2" fillId="0" borderId="0" xfId="0" applyFont="1"/>
    <xf numFmtId="0" fontId="3" fillId="2" borderId="0" xfId="0" applyFont="1" applyFill="1"/>
    <xf numFmtId="166" fontId="0" fillId="0" borderId="0" xfId="0" applyNumberFormat="1"/>
    <xf numFmtId="167" fontId="0" fillId="0" borderId="0" xfId="0" applyNumberFormat="1"/>
    <xf numFmtId="168" fontId="9" fillId="3" borderId="0" xfId="0" applyNumberFormat="1" applyFont="1" applyFill="1" applyAlignment="1">
      <alignment horizontal="center" vertical="center" shrinkToFit="1"/>
    </xf>
    <xf numFmtId="0" fontId="0" fillId="0" borderId="0" xfId="0"/>
    <xf numFmtId="0" fontId="0" fillId="0" borderId="2" xfId="0" applyBorder="1"/>
    <xf numFmtId="166" fontId="0" fillId="6" borderId="2" xfId="0" applyNumberFormat="1" applyFill="1" applyBorder="1"/>
    <xf numFmtId="0" fontId="0" fillId="6" borderId="2" xfId="0" applyFill="1" applyBorder="1"/>
    <xf numFmtId="166" fontId="0" fillId="0" borderId="2" xfId="0" applyNumberFormat="1" applyBorder="1"/>
    <xf numFmtId="0" fontId="9" fillId="5" borderId="0" xfId="0" applyFont="1" applyFill="1" applyAlignment="1">
      <alignment horizontal="center" vertical="center" shrinkToFit="1"/>
    </xf>
    <xf numFmtId="167" fontId="0" fillId="6" borderId="2" xfId="0" applyNumberFormat="1" applyFill="1" applyBorder="1"/>
    <xf numFmtId="0" fontId="3" fillId="3" borderId="0" xfId="0" applyFont="1" applyFill="1"/>
    <xf numFmtId="0" fontId="9" fillId="3" borderId="0" xfId="0" applyFont="1" applyFill="1" applyAlignment="1">
      <alignment horizontal="center" vertical="center" shrinkToFit="1"/>
    </xf>
    <xf numFmtId="0" fontId="8" fillId="2" borderId="0" xfId="0" applyFont="1" applyFill="1" applyAlignment="1">
      <alignment horizontal="center"/>
    </xf>
    <xf numFmtId="169" fontId="9" fillId="2" borderId="0" xfId="0" applyNumberFormat="1" applyFont="1" applyFill="1" applyAlignment="1">
      <alignment horizontal="center" vertical="center" shrinkToFit="1"/>
    </xf>
    <xf numFmtId="0" fontId="8" fillId="5" borderId="0" xfId="0" applyFont="1" applyFill="1" applyAlignment="1">
      <alignment horizontal="center"/>
    </xf>
    <xf numFmtId="167" fontId="0" fillId="0" borderId="2" xfId="0" applyNumberFormat="1" applyBorder="1"/>
    <xf numFmtId="0" fontId="8" fillId="3" borderId="0" xfId="0" applyFont="1" applyFill="1" applyAlignment="1">
      <alignment horizontal="center"/>
    </xf>
    <xf numFmtId="166" fontId="9" fillId="2" borderId="0" xfId="0" applyNumberFormat="1" applyFont="1" applyFill="1" applyAlignment="1">
      <alignment horizontal="center" vertical="center" shrinkToFit="1"/>
    </xf>
    <xf numFmtId="3" fontId="9" fillId="5" borderId="0" xfId="0" applyNumberFormat="1" applyFont="1" applyFill="1" applyAlignment="1">
      <alignment horizontal="center" vertical="center" shrinkToFit="1"/>
    </xf>
  </cellXfs>
  <cellStyles count="1">
    <cellStyle name="Normal" xfId="0" builtinId="0"/>
  </cellStyles>
  <dxfs count="2">
    <dxf>
      <font>
        <b/>
        <sz val="18"/>
        <color rgb="FFC8E6C9"/>
      </font>
    </dxf>
    <dxf>
      <font>
        <b/>
        <sz val="18"/>
        <color rgb="FFFFCDD2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tx>
        <c:rich>
          <a:bodyPr/>
          <a:lstStyle/>
          <a:p>
            <a:pPr>
              <a:defRPr/>
            </a:pPr>
            <a:r>
              <a:rPr lang="pt-BR"/>
              <a:t>Faturamento por marca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Cálculos!$O$4</c:f>
              <c:strCache>
                <c:ptCount val="1"/>
                <c:pt idx="0">
                  <c:v>Faturamento</c:v>
                </c:pt>
              </c:strCache>
            </c:strRef>
          </c:tx>
          <c:spPr>
            <a:solidFill>
              <a:srgbClr val="1565C0"/>
            </a:solidFill>
            <a:ln>
              <a:solidFill>
                <a:srgbClr val="1565C0"/>
              </a:solidFill>
              <a:prstDash val="solid"/>
            </a:ln>
          </c:spPr>
          <c:dLbls>
            <c:numFmt formatCode="[&gt;=1000000]&quot;R$&quot;\ #,##0.0,,&quot;M&quot;;[&gt;=1000]&quot;R$&quot;\ #,##0,&quot;mil&quot;;&quot;R$&quot;\ #,##0" sourceLinked="0"/>
            <c:showVal val="1"/>
          </c:dLbls>
          <c:cat>
            <c:strRef>
              <c:f>Cálculos!$N$5:$N$11</c:f>
              <c:strCache>
                <c:ptCount val="7"/>
                <c:pt idx="0">
                  <c:v>Honda</c:v>
                </c:pt>
                <c:pt idx="1">
                  <c:v>Ford</c:v>
                </c:pt>
                <c:pt idx="2">
                  <c:v>Renault</c:v>
                </c:pt>
                <c:pt idx="3">
                  <c:v>Chevrolet</c:v>
                </c:pt>
                <c:pt idx="4">
                  <c:v>Volkswagen</c:v>
                </c:pt>
                <c:pt idx="5">
                  <c:v>BMW</c:v>
                </c:pt>
                <c:pt idx="6">
                  <c:v>Ferrari</c:v>
                </c:pt>
              </c:strCache>
            </c:strRef>
          </c:cat>
          <c:val>
            <c:numRef>
              <c:f>Cálculos!$O$5:$O$11</c:f>
              <c:numCache>
                <c:formatCode>"R$"\ #,##0</c:formatCode>
                <c:ptCount val="7"/>
                <c:pt idx="0">
                  <c:v>11766022.199999999</c:v>
                </c:pt>
                <c:pt idx="1">
                  <c:v>11688778.029999999</c:v>
                </c:pt>
                <c:pt idx="2">
                  <c:v>9733859</c:v>
                </c:pt>
                <c:pt idx="3">
                  <c:v>9647941.1099999994</c:v>
                </c:pt>
                <c:pt idx="4">
                  <c:v>9050711</c:v>
                </c:pt>
                <c:pt idx="5">
                  <c:v>4548777.6400000006</c:v>
                </c:pt>
                <c:pt idx="6">
                  <c:v>3399131.04</c:v>
                </c:pt>
              </c:numCache>
            </c:numRef>
          </c:val>
        </c:ser>
        <c:dLbls>
          <c:showVal val="1"/>
        </c:dLbls>
        <c:gapWidth val="60"/>
        <c:axId val="106046208"/>
        <c:axId val="106047744"/>
      </c:barChart>
      <c:catAx>
        <c:axId val="106046208"/>
        <c:scaling>
          <c:orientation val="maxMin"/>
        </c:scaling>
        <c:axPos val="l"/>
        <c:majorTickMark val="none"/>
        <c:tickLblPos val="nextTo"/>
        <c:crossAx val="106047744"/>
        <c:crosses val="autoZero"/>
        <c:lblAlgn val="ctr"/>
        <c:lblOffset val="100"/>
      </c:catAx>
      <c:valAx>
        <c:axId val="106047744"/>
        <c:scaling>
          <c:orientation val="minMax"/>
        </c:scaling>
        <c:delete val="1"/>
        <c:axPos val="t"/>
        <c:numFmt formatCode="[&gt;=1000000]&quot;R$&quot;\ #,##0.0,,&quot;M&quot;;[&gt;=1000]&quot;R$&quot;\ #,##0,&quot;mil&quot;;&quot;R$&quot;\ #,##0" sourceLinked="0"/>
        <c:majorTickMark val="none"/>
        <c:tickLblPos val="none"/>
        <c:crossAx val="106046208"/>
        <c:crosses val="autoZero"/>
        <c:crossBetween val="between"/>
      </c:valAx>
    </c:plotArea>
    <c:plotVisOnly val="1"/>
    <c:dispBlanksAs val="gap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tx>
        <c:rich>
          <a:bodyPr/>
          <a:lstStyle/>
          <a:p>
            <a:pPr>
              <a:defRPr/>
            </a:pPr>
            <a:r>
              <a:rPr lang="pt-BR"/>
              <a:t>Faturamento mensal: período x ano anterior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Cálculos!$B$17</c:f>
              <c:strCache>
                <c:ptCount val="1"/>
                <c:pt idx="0">
                  <c:v>Período</c:v>
                </c:pt>
              </c:strCache>
            </c:strRef>
          </c:tx>
          <c:spPr>
            <a:ln w="28575">
              <a:solidFill>
                <a:srgbClr val="1565C0"/>
              </a:solidFill>
              <a:prstDash val="solid"/>
            </a:ln>
          </c:spPr>
          <c:marker>
            <c:symbol val="none"/>
          </c:marker>
          <c:cat>
            <c:strRef>
              <c:f>Cálculos!$A$18:$A$29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Cálculos!$B$18:$B$29</c:f>
              <c:numCache>
                <c:formatCode>"R$"\ #,##0</c:formatCode>
                <c:ptCount val="12"/>
                <c:pt idx="0">
                  <c:v>5767009.3900000006</c:v>
                </c:pt>
                <c:pt idx="1">
                  <c:v>4726110</c:v>
                </c:pt>
                <c:pt idx="2">
                  <c:v>3504368.32</c:v>
                </c:pt>
                <c:pt idx="3">
                  <c:v>4926338</c:v>
                </c:pt>
                <c:pt idx="4">
                  <c:v>5236553.8400000008</c:v>
                </c:pt>
                <c:pt idx="5">
                  <c:v>4704102.8499999996</c:v>
                </c:pt>
                <c:pt idx="6">
                  <c:v>5653561.4700000007</c:v>
                </c:pt>
                <c:pt idx="7">
                  <c:v>5349954.7699999996</c:v>
                </c:pt>
                <c:pt idx="8">
                  <c:v>4235811</c:v>
                </c:pt>
                <c:pt idx="9">
                  <c:v>4582455</c:v>
                </c:pt>
                <c:pt idx="10">
                  <c:v>5057183.87</c:v>
                </c:pt>
                <c:pt idx="11">
                  <c:v>6091771.5099999998</c:v>
                </c:pt>
              </c:numCache>
            </c:numRef>
          </c:val>
        </c:ser>
        <c:ser>
          <c:idx val="1"/>
          <c:order val="1"/>
          <c:tx>
            <c:strRef>
              <c:f>Cálculos!$C$17</c:f>
              <c:strCache>
                <c:ptCount val="1"/>
                <c:pt idx="0">
                  <c:v>Ano anterior</c:v>
                </c:pt>
              </c:strCache>
            </c:strRef>
          </c:tx>
          <c:spPr>
            <a:ln w="28575">
              <a:solidFill>
                <a:srgbClr val="9E9E9E"/>
              </a:solidFill>
              <a:prstDash val="dash"/>
            </a:ln>
          </c:spPr>
          <c:marker>
            <c:symbol val="none"/>
          </c:marker>
          <c:cat>
            <c:strRef>
              <c:f>Cálculos!$A$18:$A$29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Cálculos!$C$18:$C$29</c:f>
              <c:numCache>
                <c:formatCode>"R$"\ #,##0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</c:ser>
        <c:marker val="1"/>
        <c:axId val="106088320"/>
        <c:axId val="106094592"/>
      </c:lineChart>
      <c:catAx>
        <c:axId val="106088320"/>
        <c:scaling>
          <c:orientation val="minMax"/>
        </c:scaling>
        <c:axPos val="b"/>
        <c:majorTickMark val="none"/>
        <c:tickLblPos val="nextTo"/>
        <c:crossAx val="106094592"/>
        <c:crosses val="autoZero"/>
        <c:lblAlgn val="ctr"/>
        <c:lblOffset val="100"/>
      </c:catAx>
      <c:valAx>
        <c:axId val="106094592"/>
        <c:scaling>
          <c:orientation val="minMax"/>
        </c:scaling>
        <c:axPos val="l"/>
        <c:majorGridlines>
          <c:spPr>
            <a:ln>
              <a:solidFill>
                <a:srgbClr val="E0E0E0"/>
              </a:solidFill>
              <a:prstDash val="solid"/>
            </a:ln>
          </c:spPr>
        </c:majorGridlines>
        <c:numFmt formatCode="[&gt;=1000000]&quot;R$&quot;\ #,##0.0,,&quot;M&quot;;[&gt;=1000]&quot;R$&quot;\ #,##0,&quot;mil&quot;;&quot;R$&quot;\ #,##0" sourceLinked="0"/>
        <c:majorTickMark val="none"/>
        <c:tickLblPos val="nextTo"/>
        <c:crossAx val="106088320"/>
        <c:crosses val="autoZero"/>
        <c:crossBetween val="between"/>
      </c:valAx>
    </c:plotArea>
    <c:legend>
      <c:legendPos val="b"/>
      <c:layout/>
    </c:legend>
    <c:plotVisOnly val="1"/>
    <c:dispBlanksAs val="gap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tx>
        <c:rich>
          <a:bodyPr/>
          <a:lstStyle/>
          <a:p>
            <a:pPr>
              <a:defRPr/>
            </a:pPr>
            <a:r>
              <a:rPr lang="pt-BR"/>
              <a:t>Participação por país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Cálculos!$O$15</c:f>
              <c:strCache>
                <c:ptCount val="1"/>
                <c:pt idx="0">
                  <c:v>Faturamento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spPr>
              <a:solidFill>
                <a:srgbClr val="0D47A1"/>
              </a:solidFill>
              <a:ln>
                <a:solidFill>
                  <a:srgbClr val="FFFFFF"/>
                </a:solidFill>
                <a:prstDash val="solid"/>
              </a:ln>
            </c:spPr>
          </c:dPt>
          <c:dPt>
            <c:idx val="1"/>
            <c:spPr>
              <a:solidFill>
                <a:srgbClr val="1565C0"/>
              </a:solidFill>
              <a:ln>
                <a:solidFill>
                  <a:srgbClr val="FFFFFF"/>
                </a:solidFill>
                <a:prstDash val="solid"/>
              </a:ln>
            </c:spPr>
          </c:dPt>
          <c:dPt>
            <c:idx val="2"/>
            <c:spPr>
              <a:solidFill>
                <a:srgbClr val="1E88E5"/>
              </a:solidFill>
              <a:ln>
                <a:solidFill>
                  <a:srgbClr val="FFFFFF"/>
                </a:solidFill>
                <a:prstDash val="solid"/>
              </a:ln>
            </c:spPr>
          </c:dPt>
          <c:dPt>
            <c:idx val="3"/>
            <c:spPr>
              <a:solidFill>
                <a:srgbClr val="42A5F5"/>
              </a:solidFill>
              <a:ln>
                <a:solidFill>
                  <a:srgbClr val="FFFFFF"/>
                </a:solidFill>
                <a:prstDash val="solid"/>
              </a:ln>
            </c:spPr>
          </c:dPt>
          <c:dPt>
            <c:idx val="4"/>
            <c:spPr>
              <a:solidFill>
                <a:srgbClr val="90CAF9"/>
              </a:solidFill>
              <a:ln>
                <a:solidFill>
                  <a:srgbClr val="FFFFFF"/>
                </a:solidFill>
                <a:prstDash val="solid"/>
              </a:ln>
            </c:spPr>
          </c:dPt>
          <c:dPt>
            <c:idx val="5"/>
            <c:spPr>
              <a:solidFill>
                <a:srgbClr val="263238"/>
              </a:solidFill>
              <a:ln>
                <a:solidFill>
                  <a:srgbClr val="FFFFFF"/>
                </a:solidFill>
                <a:prstDash val="solid"/>
              </a:ln>
            </c:spPr>
          </c:dPt>
          <c:cat>
            <c:strRef>
              <c:f>Cálculos!$N$16:$N$21</c:f>
              <c:strCache>
                <c:ptCount val="6"/>
                <c:pt idx="0">
                  <c:v>Brasil</c:v>
                </c:pt>
                <c:pt idx="1">
                  <c:v>França</c:v>
                </c:pt>
                <c:pt idx="2">
                  <c:v>China</c:v>
                </c:pt>
                <c:pt idx="3">
                  <c:v>Estados Unidos</c:v>
                </c:pt>
                <c:pt idx="4">
                  <c:v>Japão</c:v>
                </c:pt>
                <c:pt idx="5">
                  <c:v>Argentina</c:v>
                </c:pt>
              </c:strCache>
            </c:strRef>
          </c:cat>
          <c:val>
            <c:numRef>
              <c:f>Cálculos!$O$16:$O$21</c:f>
              <c:numCache>
                <c:formatCode>"R$"\ #,##0</c:formatCode>
                <c:ptCount val="6"/>
                <c:pt idx="0">
                  <c:v>14599391.58</c:v>
                </c:pt>
                <c:pt idx="1">
                  <c:v>11590536.199999999</c:v>
                </c:pt>
                <c:pt idx="2">
                  <c:v>10700013</c:v>
                </c:pt>
                <c:pt idx="3">
                  <c:v>7992626.7400000002</c:v>
                </c:pt>
                <c:pt idx="4">
                  <c:v>7588981.2800000012</c:v>
                </c:pt>
                <c:pt idx="5">
                  <c:v>7363671.2199999997</c:v>
                </c:pt>
              </c:numCache>
            </c:numRef>
          </c:val>
        </c:ser>
        <c:dLbls>
          <c:showPercent val="1"/>
        </c:dLbls>
        <c:firstSliceAng val="0"/>
        <c:holeSize val="55"/>
      </c:doughnutChart>
    </c:plotArea>
    <c:legend>
      <c:legendPos val="r"/>
      <c:layout/>
    </c:legend>
    <c:plotVisOnly val="1"/>
    <c:dispBlanksAs val="zero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tx>
        <c:rich>
          <a:bodyPr/>
          <a:lstStyle/>
          <a:p>
            <a:pPr>
              <a:defRPr/>
            </a:pPr>
            <a:r>
              <a:rPr lang="pt-BR"/>
              <a:t>Evolução anual do faturamento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Cálculos!$B$33</c:f>
              <c:strCache>
                <c:ptCount val="1"/>
                <c:pt idx="0">
                  <c:v>Faturamento</c:v>
                </c:pt>
              </c:strCache>
            </c:strRef>
          </c:tx>
          <c:spPr>
            <a:solidFill>
              <a:srgbClr val="0D47A1"/>
            </a:solidFill>
            <a:ln>
              <a:solidFill>
                <a:srgbClr val="0D47A1"/>
              </a:solidFill>
              <a:prstDash val="solid"/>
            </a:ln>
          </c:spPr>
          <c:dLbls>
            <c:numFmt formatCode="[&gt;=1000000]&quot;R$&quot;\ #,##0.0,,&quot;M&quot;;[&gt;=1000]&quot;R$&quot;\ #,##0,&quot;mil&quot;;&quot;R$&quot;\ #,##0" sourceLinked="0"/>
            <c:showVal val="1"/>
          </c:dLbls>
          <c:cat>
            <c:strRef>
              <c:f>Cálculos!$A$34:$A$41</c:f>
              <c:strCache>
                <c:ptCount val="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</c:strCache>
            </c:strRef>
          </c:cat>
          <c:val>
            <c:numRef>
              <c:f>Cálculos!$B$34:$B$41</c:f>
              <c:numCache>
                <c:formatCode>"R$"\ #,##0</c:formatCode>
                <c:ptCount val="8"/>
                <c:pt idx="0">
                  <c:v>7116424.5700000003</c:v>
                </c:pt>
                <c:pt idx="1">
                  <c:v>7841789.29</c:v>
                </c:pt>
                <c:pt idx="2">
                  <c:v>7666331.29</c:v>
                </c:pt>
                <c:pt idx="3">
                  <c:v>7811610.1899999985</c:v>
                </c:pt>
                <c:pt idx="4">
                  <c:v>8604810.9600000009</c:v>
                </c:pt>
                <c:pt idx="5">
                  <c:v>8957729.7699999996</c:v>
                </c:pt>
                <c:pt idx="6">
                  <c:v>8527352.9900000002</c:v>
                </c:pt>
                <c:pt idx="7">
                  <c:v>3309170.96</c:v>
                </c:pt>
              </c:numCache>
            </c:numRef>
          </c:val>
        </c:ser>
        <c:dLbls>
          <c:showVal val="1"/>
        </c:dLbls>
        <c:gapWidth val="50"/>
        <c:axId val="106221952"/>
        <c:axId val="106223488"/>
      </c:barChart>
      <c:catAx>
        <c:axId val="106221952"/>
        <c:scaling>
          <c:orientation val="minMax"/>
        </c:scaling>
        <c:axPos val="b"/>
        <c:majorTickMark val="none"/>
        <c:tickLblPos val="nextTo"/>
        <c:crossAx val="106223488"/>
        <c:crosses val="autoZero"/>
        <c:lblAlgn val="ctr"/>
        <c:lblOffset val="100"/>
      </c:catAx>
      <c:valAx>
        <c:axId val="106223488"/>
        <c:scaling>
          <c:orientation val="minMax"/>
        </c:scaling>
        <c:axPos val="l"/>
        <c:majorGridlines>
          <c:spPr>
            <a:ln>
              <a:solidFill>
                <a:srgbClr val="E0E0E0"/>
              </a:solidFill>
              <a:prstDash val="solid"/>
            </a:ln>
          </c:spPr>
        </c:majorGridlines>
        <c:numFmt formatCode="[&gt;=1000000]&quot;R$&quot;\ #,##0.0,,&quot;M&quot;;[&gt;=1000]&quot;R$&quot;\ #,##0,&quot;mil&quot;;&quot;R$&quot;\ #,##0" sourceLinked="0"/>
        <c:majorTickMark val="none"/>
        <c:tickLblPos val="nextTo"/>
        <c:crossAx val="106221952"/>
        <c:crosses val="autoZero"/>
        <c:crossBetween val="between"/>
      </c:valAx>
    </c:plotArea>
    <c:plotVisOnly val="1"/>
    <c:dispBlanksAs val="gap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940000" cy="2951999"/>
    <xdr:graphicFrame macro="">
      <xdr:nvGraphicFramePr>
        <xdr:cNvPr id="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12</xdr:row>
      <xdr:rowOff>0</xdr:rowOff>
    </xdr:from>
    <xdr:ext cx="5940000" cy="2951999"/>
    <xdr:graphicFrame macro=""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29</xdr:row>
      <xdr:rowOff>0</xdr:rowOff>
    </xdr:from>
    <xdr:ext cx="5940000" cy="2951999"/>
    <xdr:graphicFrame macro=""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10</xdr:col>
      <xdr:colOff>0</xdr:colOff>
      <xdr:row>29</xdr:row>
      <xdr:rowOff>0</xdr:rowOff>
    </xdr:from>
    <xdr:ext cx="5940000" cy="2951999"/>
    <xdr:graphicFrame macro=""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tbVendas" displayName="tbVendas" ref="A1:M986">
  <autoFilter ref="A1:M986"/>
  <tableColumns count="13">
    <tableColumn id="1" name="ID"/>
    <tableColumn id="2" name="Data"/>
    <tableColumn id="3" name="Ano"/>
    <tableColumn id="4" name="Mês"/>
    <tableColumn id="5" name="Marca"/>
    <tableColumn id="6" name="Modelo"/>
    <tableColumn id="7" name="Preço"/>
    <tableColumn id="8" name="País"/>
    <tableColumn id="9" name="Região"/>
    <tableColumn id="10" name="Cliente"/>
    <tableColumn id="11" name="Filtro atual"/>
    <tableColumn id="12" name="Filtro ano anterior"/>
    <tableColumn id="13" name="Filtro sem a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11111"/>
  </sheetPr>
  <dimension ref="A1:T58"/>
  <sheetViews>
    <sheetView showGridLines="0" tabSelected="1" zoomScale="90" workbookViewId="0"/>
  </sheetViews>
  <sheetFormatPr defaultRowHeight="15"/>
  <cols>
    <col min="1" max="1" width="2" customWidth="1"/>
    <col min="2" max="20" width="10.42578125" customWidth="1"/>
  </cols>
  <sheetData>
    <row r="1" spans="1:20" ht="30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1"/>
      <c r="B2" s="3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5" spans="1:20" ht="15.75">
      <c r="B5" s="4" t="s">
        <v>2</v>
      </c>
      <c r="C5" s="5" t="s">
        <v>3</v>
      </c>
      <c r="E5" s="4" t="s">
        <v>4</v>
      </c>
      <c r="F5" s="5" t="s">
        <v>3</v>
      </c>
      <c r="H5" s="4" t="s">
        <v>5</v>
      </c>
      <c r="I5" s="5" t="s">
        <v>6</v>
      </c>
      <c r="K5" s="6" t="s">
        <v>7</v>
      </c>
    </row>
    <row r="7" spans="1:20">
      <c r="B7" s="34" t="s">
        <v>8</v>
      </c>
      <c r="C7" s="21"/>
      <c r="D7" s="21"/>
      <c r="E7" s="32" t="s">
        <v>9</v>
      </c>
      <c r="F7" s="21"/>
      <c r="G7" s="21"/>
      <c r="H7" s="30" t="s">
        <v>10</v>
      </c>
      <c r="I7" s="21"/>
      <c r="J7" s="21"/>
      <c r="K7" s="30" t="s">
        <v>11</v>
      </c>
      <c r="L7" s="21"/>
      <c r="M7" s="21"/>
      <c r="N7" s="34" t="s">
        <v>12</v>
      </c>
      <c r="O7" s="21"/>
      <c r="P7" s="21"/>
      <c r="Q7" s="32" t="s">
        <v>13</v>
      </c>
      <c r="R7" s="21"/>
      <c r="S7" s="21"/>
    </row>
    <row r="8" spans="1:20">
      <c r="B8" s="20">
        <f>kpi_fat</f>
        <v>59835220.020000011</v>
      </c>
      <c r="C8" s="21"/>
      <c r="D8" s="21"/>
      <c r="E8" s="36">
        <f>kpi_qtd</f>
        <v>985</v>
      </c>
      <c r="F8" s="21"/>
      <c r="G8" s="21"/>
      <c r="H8" s="35">
        <f>kpi_ticket</f>
        <v>60746.4162639594</v>
      </c>
      <c r="I8" s="21"/>
      <c r="J8" s="21"/>
      <c r="K8" s="31" t="str">
        <f>IF(kpi_var="","—",kpi_var)</f>
        <v>—</v>
      </c>
      <c r="L8" s="21"/>
      <c r="M8" s="21"/>
      <c r="N8" s="29" t="str">
        <f>marca_lider</f>
        <v>Honda</v>
      </c>
      <c r="O8" s="21"/>
      <c r="P8" s="21"/>
      <c r="Q8" s="26" t="str">
        <f>modelo_lider</f>
        <v>Sandero</v>
      </c>
      <c r="R8" s="21"/>
      <c r="S8" s="21"/>
    </row>
    <row r="9" spans="1:20"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</row>
    <row r="10" spans="1:20"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</row>
    <row r="11" spans="1:20">
      <c r="K11" s="7" t="str">
        <f>IF(sel_ano="Todos","Selecione um ano para comparar","Comparado com "&amp;(sel_ano-1))</f>
        <v>Selecione um ano para comparar</v>
      </c>
      <c r="N11" s="7" t="str">
        <f>"País líder: "&amp;pais_lider</f>
        <v>País líder: Brasil</v>
      </c>
    </row>
    <row r="47" spans="2:13" ht="15.75">
      <c r="B47" s="8" t="s">
        <v>14</v>
      </c>
      <c r="M47" s="8" t="s">
        <v>15</v>
      </c>
    </row>
    <row r="48" spans="2:13">
      <c r="B48" s="9" t="s">
        <v>16</v>
      </c>
      <c r="C48" s="28" t="s">
        <v>17</v>
      </c>
      <c r="D48" s="21"/>
      <c r="E48" s="28" t="s">
        <v>18</v>
      </c>
      <c r="F48" s="21"/>
      <c r="G48" s="9" t="s">
        <v>19</v>
      </c>
      <c r="H48" s="28" t="s">
        <v>20</v>
      </c>
      <c r="I48" s="21"/>
      <c r="J48" s="28" t="s">
        <v>21</v>
      </c>
      <c r="K48" s="21"/>
    </row>
    <row r="49" spans="2:13">
      <c r="B49" s="10">
        <f>IF(Cálculos!P27=0,"",1)</f>
        <v>1</v>
      </c>
      <c r="C49" s="24" t="str">
        <f>IF(Cálculos!P27=0,"",Cálculos!O27)</f>
        <v>Sandero</v>
      </c>
      <c r="D49" s="24"/>
      <c r="E49" s="24" t="str">
        <f>IF(Cálculos!P27=0,"",Cálculos!S27)</f>
        <v>Renault</v>
      </c>
      <c r="F49" s="24"/>
      <c r="G49" s="10">
        <f>IF(Cálculos!P27=0,"",Cálculos!Q27)</f>
        <v>43</v>
      </c>
      <c r="H49" s="23">
        <f>IF(Cálculos!P27=0,"",Cálculos!P27)</f>
        <v>2749726</v>
      </c>
      <c r="I49" s="24"/>
      <c r="J49" s="27">
        <f>IF(Cálculos!P27=0,"",Cálculos!R27)</f>
        <v>4.5954974329181039E-2</v>
      </c>
      <c r="K49" s="24"/>
      <c r="M49" s="11" t="s">
        <v>22</v>
      </c>
    </row>
    <row r="50" spans="2:13">
      <c r="B50" s="12">
        <f>IF(Cálculos!P28=0,"",2)</f>
        <v>2</v>
      </c>
      <c r="C50" s="22" t="str">
        <f>IF(Cálculos!P28=0,"",Cálculos!O28)</f>
        <v>Clio</v>
      </c>
      <c r="D50" s="22"/>
      <c r="E50" s="22" t="str">
        <f>IF(Cálculos!P28=0,"",Cálculos!S28)</f>
        <v>Renault</v>
      </c>
      <c r="F50" s="22"/>
      <c r="G50" s="12">
        <f>IF(Cálculos!P28=0,"",Cálculos!Q28)</f>
        <v>37</v>
      </c>
      <c r="H50" s="25">
        <f>IF(Cálculos!P28=0,"",Cálculos!P28)</f>
        <v>2291216</v>
      </c>
      <c r="I50" s="22"/>
      <c r="J50" s="33">
        <f>IF(Cálculos!P28=0,"",Cálculos!R28)</f>
        <v>3.8292096180713595E-2</v>
      </c>
      <c r="K50" s="22"/>
      <c r="M50" s="11" t="s">
        <v>23</v>
      </c>
    </row>
    <row r="51" spans="2:13">
      <c r="B51" s="10">
        <f>IF(Cálculos!P29=0,"",3)</f>
        <v>3</v>
      </c>
      <c r="C51" s="24" t="str">
        <f>IF(Cálculos!P29=0,"",Cálculos!O29)</f>
        <v>Ranger</v>
      </c>
      <c r="D51" s="24"/>
      <c r="E51" s="24" t="str">
        <f>IF(Cálculos!P29=0,"",Cálculos!S29)</f>
        <v>Ford</v>
      </c>
      <c r="F51" s="24"/>
      <c r="G51" s="10">
        <f>IF(Cálculos!P29=0,"",Cálculos!Q29)</f>
        <v>38</v>
      </c>
      <c r="H51" s="23">
        <f>IF(Cálculos!P29=0,"",Cálculos!P29)</f>
        <v>2245733</v>
      </c>
      <c r="I51" s="24"/>
      <c r="J51" s="27">
        <f>IF(Cálculos!P29=0,"",Cálculos!R29)</f>
        <v>3.7531958589763027E-2</v>
      </c>
      <c r="K51" s="24"/>
      <c r="M51" s="11" t="s">
        <v>24</v>
      </c>
    </row>
    <row r="52" spans="2:13">
      <c r="B52" s="12">
        <f>IF(Cálculos!P30=0,"",4)</f>
        <v>4</v>
      </c>
      <c r="C52" s="22" t="str">
        <f>IF(Cálculos!P30=0,"",Cálculos!O30)</f>
        <v>NSX</v>
      </c>
      <c r="D52" s="22"/>
      <c r="E52" s="22" t="str">
        <f>IF(Cálculos!P30=0,"",Cálculos!S30)</f>
        <v>Honda</v>
      </c>
      <c r="F52" s="22"/>
      <c r="G52" s="12">
        <f>IF(Cálculos!P30=0,"",Cálculos!Q30)</f>
        <v>36</v>
      </c>
      <c r="H52" s="25">
        <f>IF(Cálculos!P30=0,"",Cálculos!P30)</f>
        <v>2214212.75</v>
      </c>
      <c r="I52" s="22"/>
      <c r="J52" s="33">
        <f>IF(Cálculos!P30=0,"",Cálculos!R30)</f>
        <v>3.7005174364862302E-2</v>
      </c>
      <c r="K52" s="22"/>
      <c r="M52" s="11" t="s">
        <v>25</v>
      </c>
    </row>
    <row r="53" spans="2:13">
      <c r="B53" s="10">
        <f>IF(Cálculos!P31=0,"",5)</f>
        <v>5</v>
      </c>
      <c r="C53" s="24" t="str">
        <f>IF(Cálculos!P31=0,"",Cálculos!O31)</f>
        <v>Mustang</v>
      </c>
      <c r="D53" s="24"/>
      <c r="E53" s="24" t="str">
        <f>IF(Cálculos!P31=0,"",Cálculos!S31)</f>
        <v>Ford</v>
      </c>
      <c r="F53" s="24"/>
      <c r="G53" s="10">
        <f>IF(Cálculos!P31=0,"",Cálculos!Q31)</f>
        <v>36</v>
      </c>
      <c r="H53" s="23">
        <f>IF(Cálculos!P31=0,"",Cálculos!P31)</f>
        <v>2163693</v>
      </c>
      <c r="I53" s="24"/>
      <c r="J53" s="27">
        <f>IF(Cálculos!P31=0,"",Cálculos!R31)</f>
        <v>3.6160859762474046E-2</v>
      </c>
      <c r="K53" s="24"/>
      <c r="M53" s="11" t="s">
        <v>26</v>
      </c>
    </row>
    <row r="54" spans="2:13">
      <c r="B54" s="12">
        <f>IF(Cálculos!P32=0,"",6)</f>
        <v>6</v>
      </c>
      <c r="C54" s="22" t="str">
        <f>IF(Cálculos!P32=0,"",Cálculos!O32)</f>
        <v>Accord</v>
      </c>
      <c r="D54" s="22"/>
      <c r="E54" s="22" t="str">
        <f>IF(Cálculos!P32=0,"",Cálculos!S32)</f>
        <v>Honda</v>
      </c>
      <c r="F54" s="22"/>
      <c r="G54" s="12">
        <f>IF(Cálculos!P32=0,"",Cálculos!Q32)</f>
        <v>33</v>
      </c>
      <c r="H54" s="25">
        <f>IF(Cálculos!P32=0,"",Cálculos!P32)</f>
        <v>2028150.13</v>
      </c>
      <c r="I54" s="22"/>
      <c r="J54" s="33">
        <f>IF(Cálculos!P32=0,"",Cálculos!R32)</f>
        <v>3.3895590746087133E-2</v>
      </c>
      <c r="K54" s="22"/>
    </row>
    <row r="55" spans="2:13">
      <c r="B55" s="10">
        <f>IF(Cálculos!P33=0,"",7)</f>
        <v>7</v>
      </c>
      <c r="C55" s="24" t="str">
        <f>IF(Cálculos!P33=0,"",Cálculos!O33)</f>
        <v>Prisma</v>
      </c>
      <c r="D55" s="24"/>
      <c r="E55" s="24" t="str">
        <f>IF(Cálculos!P33=0,"",Cálculos!S33)</f>
        <v>Chevrolet</v>
      </c>
      <c r="F55" s="24"/>
      <c r="G55" s="10">
        <f>IF(Cálculos!P33=0,"",Cálculos!Q33)</f>
        <v>33</v>
      </c>
      <c r="H55" s="23">
        <f>IF(Cálculos!P33=0,"",Cálculos!P33)</f>
        <v>1981776</v>
      </c>
      <c r="I55" s="24"/>
      <c r="J55" s="27">
        <f>IF(Cálculos!P33=0,"",Cálculos!R33)</f>
        <v>3.3120560087145805E-2</v>
      </c>
      <c r="K55" s="24"/>
    </row>
    <row r="56" spans="2:13">
      <c r="B56" s="12">
        <f>IF(Cálculos!P34=0,"",8)</f>
        <v>8</v>
      </c>
      <c r="C56" s="22" t="str">
        <f>IF(Cálculos!P34=0,"",Cálculos!O34)</f>
        <v>HR-V</v>
      </c>
      <c r="D56" s="22"/>
      <c r="E56" s="22" t="str">
        <f>IF(Cálculos!P34=0,"",Cálculos!S34)</f>
        <v>Honda</v>
      </c>
      <c r="F56" s="22"/>
      <c r="G56" s="12">
        <f>IF(Cálculos!P34=0,"",Cálculos!Q34)</f>
        <v>33</v>
      </c>
      <c r="H56" s="25">
        <f>IF(Cálculos!P34=0,"",Cálculos!P34)</f>
        <v>1972500</v>
      </c>
      <c r="I56" s="22"/>
      <c r="J56" s="33">
        <f>IF(Cálculos!P34=0,"",Cálculos!R34)</f>
        <v>3.2965534334806305E-2</v>
      </c>
      <c r="K56" s="22"/>
    </row>
    <row r="57" spans="2:13">
      <c r="B57" s="10">
        <f>IF(Cálculos!P35=0,"",9)</f>
        <v>9</v>
      </c>
      <c r="C57" s="24" t="str">
        <f>IF(Cálculos!P35=0,"",Cálculos!O35)</f>
        <v>Golf</v>
      </c>
      <c r="D57" s="24"/>
      <c r="E57" s="24" t="str">
        <f>IF(Cálculos!P35=0,"",Cálculos!S35)</f>
        <v>Volkswagen</v>
      </c>
      <c r="F57" s="24"/>
      <c r="G57" s="10">
        <f>IF(Cálculos!P35=0,"",Cálculos!Q35)</f>
        <v>32</v>
      </c>
      <c r="H57" s="23">
        <f>IF(Cálculos!P35=0,"",Cálculos!P35)</f>
        <v>1932673</v>
      </c>
      <c r="I57" s="24"/>
      <c r="J57" s="27">
        <f>IF(Cálculos!P35=0,"",Cálculos!R35)</f>
        <v>3.2299923011129585E-2</v>
      </c>
      <c r="K57" s="24"/>
    </row>
    <row r="58" spans="2:13">
      <c r="B58" s="12">
        <f>IF(Cálculos!P36=0,"",10)</f>
        <v>10</v>
      </c>
      <c r="C58" s="22" t="str">
        <f>IF(Cálculos!P36=0,"",Cálculos!O36)</f>
        <v>Ecosport</v>
      </c>
      <c r="D58" s="22"/>
      <c r="E58" s="22" t="str">
        <f>IF(Cálculos!P36=0,"",Cálculos!S36)</f>
        <v>Ford</v>
      </c>
      <c r="F58" s="22"/>
      <c r="G58" s="12">
        <f>IF(Cálculos!P36=0,"",Cálculos!Q36)</f>
        <v>33</v>
      </c>
      <c r="H58" s="25">
        <f>IF(Cálculos!P36=0,"",Cálculos!P36)</f>
        <v>1917430.1</v>
      </c>
      <c r="I58" s="22"/>
      <c r="J58" s="33">
        <f>IF(Cálculos!P36=0,"",Cálculos!R36)</f>
        <v>3.2045175055077868E-2</v>
      </c>
      <c r="K58" s="22"/>
    </row>
  </sheetData>
  <mergeCells count="56">
    <mergeCell ref="C57:D57"/>
    <mergeCell ref="J51:K51"/>
    <mergeCell ref="E8:G10"/>
    <mergeCell ref="E53:F53"/>
    <mergeCell ref="C53:D53"/>
    <mergeCell ref="J52:K52"/>
    <mergeCell ref="J48:K48"/>
    <mergeCell ref="C49:D49"/>
    <mergeCell ref="E57:F57"/>
    <mergeCell ref="N7:P7"/>
    <mergeCell ref="J50:K50"/>
    <mergeCell ref="H8:J10"/>
    <mergeCell ref="E54:F54"/>
    <mergeCell ref="H48:I48"/>
    <mergeCell ref="Q7:S7"/>
    <mergeCell ref="C52:D52"/>
    <mergeCell ref="C48:D48"/>
    <mergeCell ref="B7:D7"/>
    <mergeCell ref="J56:K56"/>
    <mergeCell ref="H7:J7"/>
    <mergeCell ref="H56:I56"/>
    <mergeCell ref="E51:F51"/>
    <mergeCell ref="K8:M10"/>
    <mergeCell ref="C54:D54"/>
    <mergeCell ref="J53:K53"/>
    <mergeCell ref="H49:I49"/>
    <mergeCell ref="C50:D50"/>
    <mergeCell ref="H51:I51"/>
    <mergeCell ref="J49:K49"/>
    <mergeCell ref="C55:D55"/>
    <mergeCell ref="J55:K55"/>
    <mergeCell ref="E7:G7"/>
    <mergeCell ref="K7:M7"/>
    <mergeCell ref="H52:I52"/>
    <mergeCell ref="C56:D56"/>
    <mergeCell ref="Q8:S10"/>
    <mergeCell ref="C58:D58"/>
    <mergeCell ref="J57:K57"/>
    <mergeCell ref="E52:F52"/>
    <mergeCell ref="H50:I50"/>
    <mergeCell ref="H55:I55"/>
    <mergeCell ref="E48:F48"/>
    <mergeCell ref="H58:I58"/>
    <mergeCell ref="N8:P10"/>
    <mergeCell ref="E56:F56"/>
    <mergeCell ref="J58:K58"/>
    <mergeCell ref="E58:F58"/>
    <mergeCell ref="C51:D51"/>
    <mergeCell ref="J54:K54"/>
    <mergeCell ref="E49:F49"/>
    <mergeCell ref="H57:I57"/>
    <mergeCell ref="B8:D10"/>
    <mergeCell ref="E50:F50"/>
    <mergeCell ref="H53:I53"/>
    <mergeCell ref="E55:F55"/>
    <mergeCell ref="H54:I54"/>
  </mergeCells>
  <conditionalFormatting sqref="H49:H58">
    <cfRule type="dataBar" priority="1">
      <dataBar>
        <cfvo type="num" val="0"/>
        <cfvo type="max" val="0"/>
        <color rgb="FF64B5F6"/>
      </dataBar>
    </cfRule>
  </conditionalFormatting>
  <conditionalFormatting sqref="K8">
    <cfRule type="cellIs" dxfId="1" priority="2" operator="lessThan">
      <formula>0</formula>
    </cfRule>
    <cfRule type="cellIs" dxfId="0" priority="3" operator="greaterThan">
      <formula>0</formula>
    </cfRule>
  </conditionalFormatting>
  <dataValidations count="3">
    <dataValidation type="list" showErrorMessage="1" errorTitle="Filtro inválido" error="Escolha um valor da lista." sqref="C5">
      <formula1>lista_anos</formula1>
    </dataValidation>
    <dataValidation type="list" showErrorMessage="1" errorTitle="Filtro inválido" error="Escolha um valor da lista." sqref="F5">
      <formula1>lista_paises</formula1>
    </dataValidation>
    <dataValidation type="list" showErrorMessage="1" errorTitle="Filtro inválido" error="Escolha um valor da lista." sqref="I5">
      <formula1>lista_marcas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565C0"/>
  </sheetPr>
  <dimension ref="A1:M98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" customWidth="1"/>
    <col min="2" max="2" width="12" customWidth="1"/>
    <col min="3" max="3" width="7" customWidth="1"/>
    <col min="4" max="4" width="6" customWidth="1"/>
    <col min="5" max="5" width="13" customWidth="1"/>
    <col min="6" max="6" width="16" customWidth="1"/>
    <col min="7" max="7" width="14" customWidth="1"/>
    <col min="8" max="8" width="16" customWidth="1"/>
    <col min="9" max="9" width="18" customWidth="1"/>
    <col min="10" max="10" width="24" customWidth="1"/>
    <col min="11" max="11" width="10" customWidth="1"/>
    <col min="12" max="12" width="12" customWidth="1"/>
    <col min="13" max="13" width="10" customWidth="1"/>
  </cols>
  <sheetData>
    <row r="1" spans="1:13">
      <c r="A1" t="s">
        <v>27</v>
      </c>
      <c r="B1" t="s">
        <v>28</v>
      </c>
      <c r="C1" t="s">
        <v>29</v>
      </c>
      <c r="D1" t="s">
        <v>30</v>
      </c>
      <c r="E1" t="s">
        <v>18</v>
      </c>
      <c r="F1" t="s">
        <v>17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</row>
    <row r="2" spans="1:13">
      <c r="A2">
        <v>938</v>
      </c>
      <c r="B2" s="13">
        <v>41275</v>
      </c>
      <c r="C2">
        <f t="shared" ref="C2:C65" si="0">YEAR(B2)</f>
        <v>2013</v>
      </c>
      <c r="D2">
        <f t="shared" ref="D2:D65" si="1">MONTH(B2)</f>
        <v>1</v>
      </c>
      <c r="E2" t="s">
        <v>38</v>
      </c>
      <c r="F2" t="s">
        <v>39</v>
      </c>
      <c r="G2" s="14">
        <v>74337</v>
      </c>
      <c r="H2" t="s">
        <v>40</v>
      </c>
      <c r="I2" t="s">
        <v>41</v>
      </c>
      <c r="J2" t="s">
        <v>42</v>
      </c>
      <c r="K2">
        <f t="shared" ref="K2:K65" si="2">IF(AND(OR(sel_ano="Todos",C2=sel_ano),OR(sel_pais="Todos",H2=sel_pais),OR(sel_marca="Todas",E2=sel_marca)),1,0)</f>
        <v>1</v>
      </c>
      <c r="L2">
        <f t="shared" ref="L2:L65" si="3">IF(sel_ano="Todos",0,IF(AND(C2=sel_ano-1,OR(sel_pais="Todos",H2=sel_pais),OR(sel_marca="Todas",E2=sel_marca)),1,0))</f>
        <v>0</v>
      </c>
      <c r="M2">
        <f t="shared" ref="M2:M65" si="4">IF(AND(OR(sel_pais="Todos",H2=sel_pais),OR(sel_marca="Todas",E2=sel_marca)),1,0)</f>
        <v>1</v>
      </c>
    </row>
    <row r="3" spans="1:13">
      <c r="A3">
        <v>719</v>
      </c>
      <c r="B3" s="13">
        <v>41281</v>
      </c>
      <c r="C3">
        <f t="shared" si="0"/>
        <v>2013</v>
      </c>
      <c r="D3">
        <f t="shared" si="1"/>
        <v>1</v>
      </c>
      <c r="E3" t="s">
        <v>43</v>
      </c>
      <c r="F3" t="s">
        <v>44</v>
      </c>
      <c r="G3" s="14">
        <v>72987</v>
      </c>
      <c r="H3" t="s">
        <v>40</v>
      </c>
      <c r="I3" t="s">
        <v>45</v>
      </c>
      <c r="J3" t="s">
        <v>46</v>
      </c>
      <c r="K3">
        <f t="shared" si="2"/>
        <v>1</v>
      </c>
      <c r="L3">
        <f t="shared" si="3"/>
        <v>0</v>
      </c>
      <c r="M3">
        <f t="shared" si="4"/>
        <v>1</v>
      </c>
    </row>
    <row r="4" spans="1:13">
      <c r="A4">
        <v>127</v>
      </c>
      <c r="B4" s="13">
        <v>41288</v>
      </c>
      <c r="C4">
        <f t="shared" si="0"/>
        <v>2013</v>
      </c>
      <c r="D4">
        <f t="shared" si="1"/>
        <v>1</v>
      </c>
      <c r="E4" t="s">
        <v>47</v>
      </c>
      <c r="F4" t="s">
        <v>48</v>
      </c>
      <c r="G4" s="14">
        <v>71014</v>
      </c>
      <c r="H4" t="s">
        <v>49</v>
      </c>
      <c r="I4" t="s">
        <v>50</v>
      </c>
      <c r="J4" t="s">
        <v>51</v>
      </c>
      <c r="K4">
        <f t="shared" si="2"/>
        <v>1</v>
      </c>
      <c r="L4">
        <f t="shared" si="3"/>
        <v>0</v>
      </c>
      <c r="M4">
        <f t="shared" si="4"/>
        <v>1</v>
      </c>
    </row>
    <row r="5" spans="1:13">
      <c r="A5">
        <v>802</v>
      </c>
      <c r="B5" s="13">
        <v>41294</v>
      </c>
      <c r="C5">
        <f t="shared" si="0"/>
        <v>2013</v>
      </c>
      <c r="D5">
        <f t="shared" si="1"/>
        <v>1</v>
      </c>
      <c r="E5" t="s">
        <v>47</v>
      </c>
      <c r="F5" t="s">
        <v>52</v>
      </c>
      <c r="G5" s="14">
        <v>53520</v>
      </c>
      <c r="H5" t="s">
        <v>53</v>
      </c>
      <c r="I5" t="s">
        <v>54</v>
      </c>
      <c r="J5" t="s">
        <v>55</v>
      </c>
      <c r="K5">
        <f t="shared" si="2"/>
        <v>1</v>
      </c>
      <c r="L5">
        <f t="shared" si="3"/>
        <v>0</v>
      </c>
      <c r="M5">
        <f t="shared" si="4"/>
        <v>1</v>
      </c>
    </row>
    <row r="6" spans="1:13">
      <c r="A6">
        <v>940</v>
      </c>
      <c r="B6" s="13">
        <v>41296</v>
      </c>
      <c r="C6">
        <f t="shared" si="0"/>
        <v>2013</v>
      </c>
      <c r="D6">
        <f t="shared" si="1"/>
        <v>1</v>
      </c>
      <c r="E6" t="s">
        <v>38</v>
      </c>
      <c r="F6" t="s">
        <v>56</v>
      </c>
      <c r="G6" s="14">
        <v>58157</v>
      </c>
      <c r="H6" t="s">
        <v>57</v>
      </c>
      <c r="I6" t="s">
        <v>58</v>
      </c>
      <c r="J6" t="s">
        <v>59</v>
      </c>
      <c r="K6">
        <f t="shared" si="2"/>
        <v>1</v>
      </c>
      <c r="L6">
        <f t="shared" si="3"/>
        <v>0</v>
      </c>
      <c r="M6">
        <f t="shared" si="4"/>
        <v>1</v>
      </c>
    </row>
    <row r="7" spans="1:13">
      <c r="A7">
        <v>230</v>
      </c>
      <c r="B7" s="13">
        <v>41300</v>
      </c>
      <c r="C7">
        <f t="shared" si="0"/>
        <v>2013</v>
      </c>
      <c r="D7">
        <f t="shared" si="1"/>
        <v>1</v>
      </c>
      <c r="E7" t="s">
        <v>38</v>
      </c>
      <c r="F7" t="s">
        <v>56</v>
      </c>
      <c r="G7" s="14">
        <v>63846</v>
      </c>
      <c r="H7" t="s">
        <v>60</v>
      </c>
      <c r="I7" t="s">
        <v>61</v>
      </c>
      <c r="J7" t="s">
        <v>62</v>
      </c>
      <c r="K7">
        <f t="shared" si="2"/>
        <v>1</v>
      </c>
      <c r="L7">
        <f t="shared" si="3"/>
        <v>0</v>
      </c>
      <c r="M7">
        <f t="shared" si="4"/>
        <v>1</v>
      </c>
    </row>
    <row r="8" spans="1:13">
      <c r="A8">
        <v>776</v>
      </c>
      <c r="B8" s="13">
        <v>41300</v>
      </c>
      <c r="C8">
        <f t="shared" si="0"/>
        <v>2013</v>
      </c>
      <c r="D8">
        <f t="shared" si="1"/>
        <v>1</v>
      </c>
      <c r="E8" t="s">
        <v>63</v>
      </c>
      <c r="F8" t="s">
        <v>64</v>
      </c>
      <c r="G8" s="14">
        <v>60167.39</v>
      </c>
      <c r="H8" t="s">
        <v>57</v>
      </c>
      <c r="I8" t="s">
        <v>65</v>
      </c>
      <c r="J8" t="s">
        <v>66</v>
      </c>
      <c r="K8">
        <f t="shared" si="2"/>
        <v>1</v>
      </c>
      <c r="L8">
        <f t="shared" si="3"/>
        <v>0</v>
      </c>
      <c r="M8">
        <f t="shared" si="4"/>
        <v>1</v>
      </c>
    </row>
    <row r="9" spans="1:13">
      <c r="A9">
        <v>555</v>
      </c>
      <c r="B9" s="13">
        <v>41301</v>
      </c>
      <c r="C9">
        <f t="shared" si="0"/>
        <v>2013</v>
      </c>
      <c r="D9">
        <f t="shared" si="1"/>
        <v>1</v>
      </c>
      <c r="E9" t="s">
        <v>43</v>
      </c>
      <c r="F9" t="s">
        <v>67</v>
      </c>
      <c r="G9" s="14">
        <v>40937</v>
      </c>
      <c r="H9" t="s">
        <v>53</v>
      </c>
      <c r="I9" t="s">
        <v>68</v>
      </c>
      <c r="J9" t="s">
        <v>69</v>
      </c>
      <c r="K9">
        <f t="shared" si="2"/>
        <v>1</v>
      </c>
      <c r="L9">
        <f t="shared" si="3"/>
        <v>0</v>
      </c>
      <c r="M9">
        <f t="shared" si="4"/>
        <v>1</v>
      </c>
    </row>
    <row r="10" spans="1:13">
      <c r="A10">
        <v>144</v>
      </c>
      <c r="B10" s="13">
        <v>41302</v>
      </c>
      <c r="C10">
        <f t="shared" si="0"/>
        <v>2013</v>
      </c>
      <c r="D10">
        <f t="shared" si="1"/>
        <v>1</v>
      </c>
      <c r="E10" t="s">
        <v>43</v>
      </c>
      <c r="F10" t="s">
        <v>70</v>
      </c>
      <c r="G10" s="14">
        <v>63467</v>
      </c>
      <c r="H10" t="s">
        <v>60</v>
      </c>
      <c r="I10" t="s">
        <v>71</v>
      </c>
      <c r="J10" t="s">
        <v>72</v>
      </c>
      <c r="K10">
        <f t="shared" si="2"/>
        <v>1</v>
      </c>
      <c r="L10">
        <f t="shared" si="3"/>
        <v>0</v>
      </c>
      <c r="M10">
        <f t="shared" si="4"/>
        <v>1</v>
      </c>
    </row>
    <row r="11" spans="1:13">
      <c r="A11">
        <v>210</v>
      </c>
      <c r="B11" s="13">
        <v>41302</v>
      </c>
      <c r="C11">
        <f t="shared" si="0"/>
        <v>2013</v>
      </c>
      <c r="D11">
        <f t="shared" si="1"/>
        <v>1</v>
      </c>
      <c r="E11" t="s">
        <v>73</v>
      </c>
      <c r="F11" t="s">
        <v>74</v>
      </c>
      <c r="G11" s="14">
        <v>72381</v>
      </c>
      <c r="H11" t="s">
        <v>40</v>
      </c>
      <c r="I11" t="s">
        <v>45</v>
      </c>
      <c r="J11" t="s">
        <v>75</v>
      </c>
      <c r="K11">
        <f t="shared" si="2"/>
        <v>1</v>
      </c>
      <c r="L11">
        <f t="shared" si="3"/>
        <v>0</v>
      </c>
      <c r="M11">
        <f t="shared" si="4"/>
        <v>1</v>
      </c>
    </row>
    <row r="12" spans="1:13">
      <c r="A12">
        <v>143</v>
      </c>
      <c r="B12" s="13">
        <v>41306</v>
      </c>
      <c r="C12">
        <f t="shared" si="0"/>
        <v>2013</v>
      </c>
      <c r="D12">
        <f t="shared" si="1"/>
        <v>2</v>
      </c>
      <c r="E12" t="s">
        <v>76</v>
      </c>
      <c r="F12" t="s">
        <v>77</v>
      </c>
      <c r="G12" s="14">
        <v>47221</v>
      </c>
      <c r="H12" t="s">
        <v>53</v>
      </c>
      <c r="I12" t="s">
        <v>78</v>
      </c>
      <c r="J12" t="s">
        <v>79</v>
      </c>
      <c r="K12">
        <f t="shared" si="2"/>
        <v>1</v>
      </c>
      <c r="L12">
        <f t="shared" si="3"/>
        <v>0</v>
      </c>
      <c r="M12">
        <f t="shared" si="4"/>
        <v>1</v>
      </c>
    </row>
    <row r="13" spans="1:13">
      <c r="A13">
        <v>909</v>
      </c>
      <c r="B13" s="13">
        <v>41310</v>
      </c>
      <c r="C13">
        <f t="shared" si="0"/>
        <v>2013</v>
      </c>
      <c r="D13">
        <f t="shared" si="1"/>
        <v>2</v>
      </c>
      <c r="E13" t="s">
        <v>38</v>
      </c>
      <c r="F13" t="s">
        <v>80</v>
      </c>
      <c r="G13" s="14">
        <v>71665</v>
      </c>
      <c r="H13" t="s">
        <v>81</v>
      </c>
      <c r="I13" t="s">
        <v>82</v>
      </c>
      <c r="J13" t="s">
        <v>83</v>
      </c>
      <c r="K13">
        <f t="shared" si="2"/>
        <v>1</v>
      </c>
      <c r="L13">
        <f t="shared" si="3"/>
        <v>0</v>
      </c>
      <c r="M13">
        <f t="shared" si="4"/>
        <v>1</v>
      </c>
    </row>
    <row r="14" spans="1:13">
      <c r="A14">
        <v>795</v>
      </c>
      <c r="B14" s="13">
        <v>41312</v>
      </c>
      <c r="C14">
        <f t="shared" si="0"/>
        <v>2013</v>
      </c>
      <c r="D14">
        <f t="shared" si="1"/>
        <v>2</v>
      </c>
      <c r="E14" t="s">
        <v>73</v>
      </c>
      <c r="F14" t="s">
        <v>74</v>
      </c>
      <c r="G14" s="14">
        <v>54543</v>
      </c>
      <c r="H14" t="s">
        <v>53</v>
      </c>
      <c r="I14" t="s">
        <v>68</v>
      </c>
      <c r="J14" t="s">
        <v>84</v>
      </c>
      <c r="K14">
        <f t="shared" si="2"/>
        <v>1</v>
      </c>
      <c r="L14">
        <f t="shared" si="3"/>
        <v>0</v>
      </c>
      <c r="M14">
        <f t="shared" si="4"/>
        <v>1</v>
      </c>
    </row>
    <row r="15" spans="1:13">
      <c r="A15">
        <v>80</v>
      </c>
      <c r="B15" s="13">
        <v>41313</v>
      </c>
      <c r="C15">
        <f t="shared" si="0"/>
        <v>2013</v>
      </c>
      <c r="D15">
        <f t="shared" si="1"/>
        <v>2</v>
      </c>
      <c r="E15" t="s">
        <v>47</v>
      </c>
      <c r="F15" t="s">
        <v>52</v>
      </c>
      <c r="G15" s="14">
        <v>42818</v>
      </c>
      <c r="H15" t="s">
        <v>40</v>
      </c>
      <c r="I15" t="s">
        <v>85</v>
      </c>
      <c r="J15" t="s">
        <v>86</v>
      </c>
      <c r="K15">
        <f t="shared" si="2"/>
        <v>1</v>
      </c>
      <c r="L15">
        <f t="shared" si="3"/>
        <v>0</v>
      </c>
      <c r="M15">
        <f t="shared" si="4"/>
        <v>1</v>
      </c>
    </row>
    <row r="16" spans="1:13">
      <c r="A16">
        <v>276</v>
      </c>
      <c r="B16" s="13">
        <v>41314</v>
      </c>
      <c r="C16">
        <f t="shared" si="0"/>
        <v>2013</v>
      </c>
      <c r="D16">
        <f t="shared" si="1"/>
        <v>2</v>
      </c>
      <c r="E16" t="s">
        <v>43</v>
      </c>
      <c r="F16" t="s">
        <v>87</v>
      </c>
      <c r="G16" s="14">
        <v>61154</v>
      </c>
      <c r="H16" t="s">
        <v>40</v>
      </c>
      <c r="I16" t="s">
        <v>88</v>
      </c>
      <c r="J16" t="s">
        <v>89</v>
      </c>
      <c r="K16">
        <f t="shared" si="2"/>
        <v>1</v>
      </c>
      <c r="L16">
        <f t="shared" si="3"/>
        <v>0</v>
      </c>
      <c r="M16">
        <f t="shared" si="4"/>
        <v>1</v>
      </c>
    </row>
    <row r="17" spans="1:13">
      <c r="A17">
        <v>202</v>
      </c>
      <c r="B17" s="13">
        <v>41317</v>
      </c>
      <c r="C17">
        <f t="shared" si="0"/>
        <v>2013</v>
      </c>
      <c r="D17">
        <f t="shared" si="1"/>
        <v>2</v>
      </c>
      <c r="E17" t="s">
        <v>38</v>
      </c>
      <c r="F17" t="s">
        <v>56</v>
      </c>
      <c r="G17" s="14">
        <v>75296</v>
      </c>
      <c r="H17" t="s">
        <v>57</v>
      </c>
      <c r="I17" t="s">
        <v>65</v>
      </c>
      <c r="J17" t="s">
        <v>90</v>
      </c>
      <c r="K17">
        <f t="shared" si="2"/>
        <v>1</v>
      </c>
      <c r="L17">
        <f t="shared" si="3"/>
        <v>0</v>
      </c>
      <c r="M17">
        <f t="shared" si="4"/>
        <v>1</v>
      </c>
    </row>
    <row r="18" spans="1:13">
      <c r="A18">
        <v>426</v>
      </c>
      <c r="B18" s="13">
        <v>41327</v>
      </c>
      <c r="C18">
        <f t="shared" si="0"/>
        <v>2013</v>
      </c>
      <c r="D18">
        <f t="shared" si="1"/>
        <v>2</v>
      </c>
      <c r="E18" t="s">
        <v>76</v>
      </c>
      <c r="F18" t="s">
        <v>91</v>
      </c>
      <c r="G18" s="14">
        <v>55179</v>
      </c>
      <c r="H18" t="s">
        <v>53</v>
      </c>
      <c r="I18" t="s">
        <v>92</v>
      </c>
      <c r="J18" t="s">
        <v>93</v>
      </c>
      <c r="K18">
        <f t="shared" si="2"/>
        <v>1</v>
      </c>
      <c r="L18">
        <f t="shared" si="3"/>
        <v>0</v>
      </c>
      <c r="M18">
        <f t="shared" si="4"/>
        <v>1</v>
      </c>
    </row>
    <row r="19" spans="1:13">
      <c r="A19">
        <v>951</v>
      </c>
      <c r="B19" s="13">
        <v>41328</v>
      </c>
      <c r="C19">
        <f t="shared" si="0"/>
        <v>2013</v>
      </c>
      <c r="D19">
        <f t="shared" si="1"/>
        <v>2</v>
      </c>
      <c r="E19" t="s">
        <v>94</v>
      </c>
      <c r="F19" t="s">
        <v>95</v>
      </c>
      <c r="G19" s="14">
        <v>61168</v>
      </c>
      <c r="H19" t="s">
        <v>49</v>
      </c>
      <c r="I19" t="s">
        <v>96</v>
      </c>
      <c r="J19" t="s">
        <v>97</v>
      </c>
      <c r="K19">
        <f t="shared" si="2"/>
        <v>1</v>
      </c>
      <c r="L19">
        <f t="shared" si="3"/>
        <v>0</v>
      </c>
      <c r="M19">
        <f t="shared" si="4"/>
        <v>1</v>
      </c>
    </row>
    <row r="20" spans="1:13">
      <c r="A20">
        <v>566</v>
      </c>
      <c r="B20" s="13">
        <v>41329</v>
      </c>
      <c r="C20">
        <f t="shared" si="0"/>
        <v>2013</v>
      </c>
      <c r="D20">
        <f t="shared" si="1"/>
        <v>2</v>
      </c>
      <c r="E20" t="s">
        <v>43</v>
      </c>
      <c r="F20" t="s">
        <v>44</v>
      </c>
      <c r="G20" s="14">
        <v>51423</v>
      </c>
      <c r="H20" t="s">
        <v>40</v>
      </c>
      <c r="I20" t="s">
        <v>98</v>
      </c>
      <c r="J20" t="s">
        <v>99</v>
      </c>
      <c r="K20">
        <f t="shared" si="2"/>
        <v>1</v>
      </c>
      <c r="L20">
        <f t="shared" si="3"/>
        <v>0</v>
      </c>
      <c r="M20">
        <f t="shared" si="4"/>
        <v>1</v>
      </c>
    </row>
    <row r="21" spans="1:13">
      <c r="A21">
        <v>76</v>
      </c>
      <c r="B21" s="13">
        <v>41333</v>
      </c>
      <c r="C21">
        <f t="shared" si="0"/>
        <v>2013</v>
      </c>
      <c r="D21">
        <f t="shared" si="1"/>
        <v>2</v>
      </c>
      <c r="E21" t="s">
        <v>47</v>
      </c>
      <c r="F21" t="s">
        <v>52</v>
      </c>
      <c r="G21" s="14">
        <v>74564</v>
      </c>
      <c r="H21" t="s">
        <v>40</v>
      </c>
      <c r="I21" t="s">
        <v>100</v>
      </c>
      <c r="J21" t="s">
        <v>101</v>
      </c>
      <c r="K21">
        <f t="shared" si="2"/>
        <v>1</v>
      </c>
      <c r="L21">
        <f t="shared" si="3"/>
        <v>0</v>
      </c>
      <c r="M21">
        <f t="shared" si="4"/>
        <v>1</v>
      </c>
    </row>
    <row r="22" spans="1:13">
      <c r="A22">
        <v>524</v>
      </c>
      <c r="B22" s="13">
        <v>41334</v>
      </c>
      <c r="C22">
        <f t="shared" si="0"/>
        <v>2013</v>
      </c>
      <c r="D22">
        <f t="shared" si="1"/>
        <v>3</v>
      </c>
      <c r="E22" t="s">
        <v>73</v>
      </c>
      <c r="F22" t="s">
        <v>102</v>
      </c>
      <c r="G22" s="14">
        <v>45326</v>
      </c>
      <c r="H22" t="s">
        <v>49</v>
      </c>
      <c r="I22" t="s">
        <v>103</v>
      </c>
      <c r="J22" t="s">
        <v>104</v>
      </c>
      <c r="K22">
        <f t="shared" si="2"/>
        <v>1</v>
      </c>
      <c r="L22">
        <f t="shared" si="3"/>
        <v>0</v>
      </c>
      <c r="M22">
        <f t="shared" si="4"/>
        <v>1</v>
      </c>
    </row>
    <row r="23" spans="1:13">
      <c r="A23">
        <v>458</v>
      </c>
      <c r="B23" s="13">
        <v>41337</v>
      </c>
      <c r="C23">
        <f t="shared" si="0"/>
        <v>2013</v>
      </c>
      <c r="D23">
        <f t="shared" si="1"/>
        <v>3</v>
      </c>
      <c r="E23" t="s">
        <v>63</v>
      </c>
      <c r="F23" t="s">
        <v>105</v>
      </c>
      <c r="G23" s="14">
        <v>74828</v>
      </c>
      <c r="H23" t="s">
        <v>57</v>
      </c>
      <c r="I23" t="s">
        <v>106</v>
      </c>
      <c r="J23" t="s">
        <v>107</v>
      </c>
      <c r="K23">
        <f t="shared" si="2"/>
        <v>1</v>
      </c>
      <c r="L23">
        <f t="shared" si="3"/>
        <v>0</v>
      </c>
      <c r="M23">
        <f t="shared" si="4"/>
        <v>1</v>
      </c>
    </row>
    <row r="24" spans="1:13">
      <c r="A24">
        <v>920</v>
      </c>
      <c r="B24" s="13">
        <v>41348</v>
      </c>
      <c r="C24">
        <f t="shared" si="0"/>
        <v>2013</v>
      </c>
      <c r="D24">
        <f t="shared" si="1"/>
        <v>3</v>
      </c>
      <c r="E24" t="s">
        <v>38</v>
      </c>
      <c r="F24" t="s">
        <v>80</v>
      </c>
      <c r="G24" s="14">
        <v>66774</v>
      </c>
      <c r="H24" t="s">
        <v>81</v>
      </c>
      <c r="I24" t="s">
        <v>108</v>
      </c>
      <c r="J24" t="s">
        <v>109</v>
      </c>
      <c r="K24">
        <f t="shared" si="2"/>
        <v>1</v>
      </c>
      <c r="L24">
        <f t="shared" si="3"/>
        <v>0</v>
      </c>
      <c r="M24">
        <f t="shared" si="4"/>
        <v>1</v>
      </c>
    </row>
    <row r="25" spans="1:13">
      <c r="A25">
        <v>180</v>
      </c>
      <c r="B25" s="13">
        <v>41353</v>
      </c>
      <c r="C25">
        <f t="shared" si="0"/>
        <v>2013</v>
      </c>
      <c r="D25">
        <f t="shared" si="1"/>
        <v>3</v>
      </c>
      <c r="E25" t="s">
        <v>76</v>
      </c>
      <c r="F25" t="s">
        <v>110</v>
      </c>
      <c r="G25" s="14">
        <v>45423</v>
      </c>
      <c r="H25" t="s">
        <v>49</v>
      </c>
      <c r="I25" t="s">
        <v>103</v>
      </c>
      <c r="J25" t="s">
        <v>111</v>
      </c>
      <c r="K25">
        <f t="shared" si="2"/>
        <v>1</v>
      </c>
      <c r="L25">
        <f t="shared" si="3"/>
        <v>0</v>
      </c>
      <c r="M25">
        <f t="shared" si="4"/>
        <v>1</v>
      </c>
    </row>
    <row r="26" spans="1:13">
      <c r="A26">
        <v>104</v>
      </c>
      <c r="B26" s="13">
        <v>41355</v>
      </c>
      <c r="C26">
        <f t="shared" si="0"/>
        <v>2013</v>
      </c>
      <c r="D26">
        <f t="shared" si="1"/>
        <v>3</v>
      </c>
      <c r="E26" t="s">
        <v>38</v>
      </c>
      <c r="F26" t="s">
        <v>112</v>
      </c>
      <c r="G26" s="14">
        <v>45741</v>
      </c>
      <c r="H26" t="s">
        <v>53</v>
      </c>
      <c r="I26" t="s">
        <v>54</v>
      </c>
      <c r="J26" t="s">
        <v>113</v>
      </c>
      <c r="K26">
        <f t="shared" si="2"/>
        <v>1</v>
      </c>
      <c r="L26">
        <f t="shared" si="3"/>
        <v>0</v>
      </c>
      <c r="M26">
        <f t="shared" si="4"/>
        <v>1</v>
      </c>
    </row>
    <row r="27" spans="1:13">
      <c r="A27">
        <v>771</v>
      </c>
      <c r="B27" s="13">
        <v>41363</v>
      </c>
      <c r="C27">
        <f t="shared" si="0"/>
        <v>2013</v>
      </c>
      <c r="D27">
        <f t="shared" si="1"/>
        <v>3</v>
      </c>
      <c r="E27" t="s">
        <v>73</v>
      </c>
      <c r="F27" t="s">
        <v>102</v>
      </c>
      <c r="G27" s="14">
        <v>78221</v>
      </c>
      <c r="H27" t="s">
        <v>60</v>
      </c>
      <c r="I27" t="s">
        <v>114</v>
      </c>
      <c r="J27" t="s">
        <v>115</v>
      </c>
      <c r="K27">
        <f t="shared" si="2"/>
        <v>1</v>
      </c>
      <c r="L27">
        <f t="shared" si="3"/>
        <v>0</v>
      </c>
      <c r="M27">
        <f t="shared" si="4"/>
        <v>1</v>
      </c>
    </row>
    <row r="28" spans="1:13">
      <c r="A28">
        <v>145</v>
      </c>
      <c r="B28" s="13">
        <v>41367</v>
      </c>
      <c r="C28">
        <f t="shared" si="0"/>
        <v>2013</v>
      </c>
      <c r="D28">
        <f t="shared" si="1"/>
        <v>4</v>
      </c>
      <c r="E28" t="s">
        <v>47</v>
      </c>
      <c r="F28" t="s">
        <v>116</v>
      </c>
      <c r="G28" s="14">
        <v>50142</v>
      </c>
      <c r="H28" t="s">
        <v>53</v>
      </c>
      <c r="I28" t="s">
        <v>54</v>
      </c>
      <c r="J28" t="s">
        <v>117</v>
      </c>
      <c r="K28">
        <f t="shared" si="2"/>
        <v>1</v>
      </c>
      <c r="L28">
        <f t="shared" si="3"/>
        <v>0</v>
      </c>
      <c r="M28">
        <f t="shared" si="4"/>
        <v>1</v>
      </c>
    </row>
    <row r="29" spans="1:13">
      <c r="A29">
        <v>512</v>
      </c>
      <c r="B29" s="13">
        <v>41377</v>
      </c>
      <c r="C29">
        <f t="shared" si="0"/>
        <v>2013</v>
      </c>
      <c r="D29">
        <f t="shared" si="1"/>
        <v>4</v>
      </c>
      <c r="E29" t="s">
        <v>47</v>
      </c>
      <c r="F29" t="s">
        <v>48</v>
      </c>
      <c r="G29" s="14">
        <v>78826</v>
      </c>
      <c r="H29" t="s">
        <v>57</v>
      </c>
      <c r="I29" t="s">
        <v>106</v>
      </c>
      <c r="J29" t="s">
        <v>118</v>
      </c>
      <c r="K29">
        <f t="shared" si="2"/>
        <v>1</v>
      </c>
      <c r="L29">
        <f t="shared" si="3"/>
        <v>0</v>
      </c>
      <c r="M29">
        <f t="shared" si="4"/>
        <v>1</v>
      </c>
    </row>
    <row r="30" spans="1:13">
      <c r="A30">
        <v>198</v>
      </c>
      <c r="B30" s="13">
        <v>41378</v>
      </c>
      <c r="C30">
        <f t="shared" si="0"/>
        <v>2013</v>
      </c>
      <c r="D30">
        <f t="shared" si="1"/>
        <v>4</v>
      </c>
      <c r="E30" t="s">
        <v>73</v>
      </c>
      <c r="F30" t="s">
        <v>119</v>
      </c>
      <c r="G30" s="14">
        <v>60066</v>
      </c>
      <c r="H30" t="s">
        <v>53</v>
      </c>
      <c r="I30" t="s">
        <v>120</v>
      </c>
      <c r="J30" t="s">
        <v>121</v>
      </c>
      <c r="K30">
        <f t="shared" si="2"/>
        <v>1</v>
      </c>
      <c r="L30">
        <f t="shared" si="3"/>
        <v>0</v>
      </c>
      <c r="M30">
        <f t="shared" si="4"/>
        <v>1</v>
      </c>
    </row>
    <row r="31" spans="1:13">
      <c r="A31">
        <v>752</v>
      </c>
      <c r="B31" s="13">
        <v>41380</v>
      </c>
      <c r="C31">
        <f t="shared" si="0"/>
        <v>2013</v>
      </c>
      <c r="D31">
        <f t="shared" si="1"/>
        <v>4</v>
      </c>
      <c r="E31" t="s">
        <v>38</v>
      </c>
      <c r="F31" t="s">
        <v>56</v>
      </c>
      <c r="G31" s="14">
        <v>60101</v>
      </c>
      <c r="H31" t="s">
        <v>49</v>
      </c>
      <c r="I31" t="s">
        <v>122</v>
      </c>
      <c r="J31" t="s">
        <v>123</v>
      </c>
      <c r="K31">
        <f t="shared" si="2"/>
        <v>1</v>
      </c>
      <c r="L31">
        <f t="shared" si="3"/>
        <v>0</v>
      </c>
      <c r="M31">
        <f t="shared" si="4"/>
        <v>1</v>
      </c>
    </row>
    <row r="32" spans="1:13">
      <c r="A32">
        <v>927</v>
      </c>
      <c r="B32" s="13">
        <v>41386</v>
      </c>
      <c r="C32">
        <f t="shared" si="0"/>
        <v>2013</v>
      </c>
      <c r="D32">
        <f t="shared" si="1"/>
        <v>4</v>
      </c>
      <c r="E32" t="s">
        <v>63</v>
      </c>
      <c r="F32" t="s">
        <v>124</v>
      </c>
      <c r="G32" s="14">
        <v>45930</v>
      </c>
      <c r="H32" t="s">
        <v>81</v>
      </c>
      <c r="I32" t="s">
        <v>108</v>
      </c>
      <c r="J32" t="s">
        <v>125</v>
      </c>
      <c r="K32">
        <f t="shared" si="2"/>
        <v>1</v>
      </c>
      <c r="L32">
        <f t="shared" si="3"/>
        <v>0</v>
      </c>
      <c r="M32">
        <f t="shared" si="4"/>
        <v>1</v>
      </c>
    </row>
    <row r="33" spans="1:13">
      <c r="A33">
        <v>66</v>
      </c>
      <c r="B33" s="13">
        <v>41387</v>
      </c>
      <c r="C33">
        <f t="shared" si="0"/>
        <v>2013</v>
      </c>
      <c r="D33">
        <f t="shared" si="1"/>
        <v>4</v>
      </c>
      <c r="E33" t="s">
        <v>38</v>
      </c>
      <c r="F33" t="s">
        <v>126</v>
      </c>
      <c r="G33" s="14">
        <v>78604</v>
      </c>
      <c r="H33" t="s">
        <v>81</v>
      </c>
      <c r="I33" t="s">
        <v>82</v>
      </c>
      <c r="J33" t="s">
        <v>127</v>
      </c>
      <c r="K33">
        <f t="shared" si="2"/>
        <v>1</v>
      </c>
      <c r="L33">
        <f t="shared" si="3"/>
        <v>0</v>
      </c>
      <c r="M33">
        <f t="shared" si="4"/>
        <v>1</v>
      </c>
    </row>
    <row r="34" spans="1:13">
      <c r="A34">
        <v>635</v>
      </c>
      <c r="B34" s="13">
        <v>41387</v>
      </c>
      <c r="C34">
        <f t="shared" si="0"/>
        <v>2013</v>
      </c>
      <c r="D34">
        <f t="shared" si="1"/>
        <v>4</v>
      </c>
      <c r="E34" t="s">
        <v>76</v>
      </c>
      <c r="F34" t="s">
        <v>110</v>
      </c>
      <c r="G34" s="14">
        <v>65408</v>
      </c>
      <c r="H34" t="s">
        <v>40</v>
      </c>
      <c r="I34" t="s">
        <v>85</v>
      </c>
      <c r="J34" t="s">
        <v>128</v>
      </c>
      <c r="K34">
        <f t="shared" si="2"/>
        <v>1</v>
      </c>
      <c r="L34">
        <f t="shared" si="3"/>
        <v>0</v>
      </c>
      <c r="M34">
        <f t="shared" si="4"/>
        <v>1</v>
      </c>
    </row>
    <row r="35" spans="1:13">
      <c r="A35">
        <v>29</v>
      </c>
      <c r="B35" s="13">
        <v>41388</v>
      </c>
      <c r="C35">
        <f t="shared" si="0"/>
        <v>2013</v>
      </c>
      <c r="D35">
        <f t="shared" si="1"/>
        <v>4</v>
      </c>
      <c r="E35" t="s">
        <v>76</v>
      </c>
      <c r="F35" t="s">
        <v>129</v>
      </c>
      <c r="G35" s="14">
        <v>78292</v>
      </c>
      <c r="H35" t="s">
        <v>53</v>
      </c>
      <c r="I35" t="s">
        <v>54</v>
      </c>
      <c r="J35" t="s">
        <v>130</v>
      </c>
      <c r="K35">
        <f t="shared" si="2"/>
        <v>1</v>
      </c>
      <c r="L35">
        <f t="shared" si="3"/>
        <v>0</v>
      </c>
      <c r="M35">
        <f t="shared" si="4"/>
        <v>1</v>
      </c>
    </row>
    <row r="36" spans="1:13">
      <c r="A36">
        <v>382</v>
      </c>
      <c r="B36" s="13">
        <v>41391</v>
      </c>
      <c r="C36">
        <f t="shared" si="0"/>
        <v>2013</v>
      </c>
      <c r="D36">
        <f t="shared" si="1"/>
        <v>4</v>
      </c>
      <c r="E36" t="s">
        <v>47</v>
      </c>
      <c r="F36" t="s">
        <v>48</v>
      </c>
      <c r="G36" s="14">
        <v>56903</v>
      </c>
      <c r="H36" t="s">
        <v>40</v>
      </c>
      <c r="I36" t="s">
        <v>45</v>
      </c>
      <c r="J36" t="s">
        <v>131</v>
      </c>
      <c r="K36">
        <f t="shared" si="2"/>
        <v>1</v>
      </c>
      <c r="L36">
        <f t="shared" si="3"/>
        <v>0</v>
      </c>
      <c r="M36">
        <f t="shared" si="4"/>
        <v>1</v>
      </c>
    </row>
    <row r="37" spans="1:13">
      <c r="A37">
        <v>387</v>
      </c>
      <c r="B37" s="13">
        <v>41394</v>
      </c>
      <c r="C37">
        <f t="shared" si="0"/>
        <v>2013</v>
      </c>
      <c r="D37">
        <f t="shared" si="1"/>
        <v>4</v>
      </c>
      <c r="E37" t="s">
        <v>47</v>
      </c>
      <c r="F37" t="s">
        <v>132</v>
      </c>
      <c r="G37" s="14">
        <v>76003</v>
      </c>
      <c r="H37" t="s">
        <v>53</v>
      </c>
      <c r="I37" t="s">
        <v>78</v>
      </c>
      <c r="J37" t="s">
        <v>133</v>
      </c>
      <c r="K37">
        <f t="shared" si="2"/>
        <v>1</v>
      </c>
      <c r="L37">
        <f t="shared" si="3"/>
        <v>0</v>
      </c>
      <c r="M37">
        <f t="shared" si="4"/>
        <v>1</v>
      </c>
    </row>
    <row r="38" spans="1:13">
      <c r="A38">
        <v>857</v>
      </c>
      <c r="B38" s="13">
        <v>41396</v>
      </c>
      <c r="C38">
        <f t="shared" si="0"/>
        <v>2013</v>
      </c>
      <c r="D38">
        <f t="shared" si="1"/>
        <v>5</v>
      </c>
      <c r="E38" t="s">
        <v>43</v>
      </c>
      <c r="F38" t="s">
        <v>134</v>
      </c>
      <c r="G38" s="14">
        <v>55379</v>
      </c>
      <c r="H38" t="s">
        <v>60</v>
      </c>
      <c r="I38" t="s">
        <v>114</v>
      </c>
      <c r="J38" t="s">
        <v>135</v>
      </c>
      <c r="K38">
        <f t="shared" si="2"/>
        <v>1</v>
      </c>
      <c r="L38">
        <f t="shared" si="3"/>
        <v>0</v>
      </c>
      <c r="M38">
        <f t="shared" si="4"/>
        <v>1</v>
      </c>
    </row>
    <row r="39" spans="1:13">
      <c r="A39">
        <v>527</v>
      </c>
      <c r="B39" s="13">
        <v>41404</v>
      </c>
      <c r="C39">
        <f t="shared" si="0"/>
        <v>2013</v>
      </c>
      <c r="D39">
        <f t="shared" si="1"/>
        <v>5</v>
      </c>
      <c r="E39" t="s">
        <v>47</v>
      </c>
      <c r="F39" t="s">
        <v>136</v>
      </c>
      <c r="G39" s="14">
        <v>65522</v>
      </c>
      <c r="H39" t="s">
        <v>53</v>
      </c>
      <c r="I39" t="s">
        <v>54</v>
      </c>
      <c r="J39" t="s">
        <v>137</v>
      </c>
      <c r="K39">
        <f t="shared" si="2"/>
        <v>1</v>
      </c>
      <c r="L39">
        <f t="shared" si="3"/>
        <v>0</v>
      </c>
      <c r="M39">
        <f t="shared" si="4"/>
        <v>1</v>
      </c>
    </row>
    <row r="40" spans="1:13">
      <c r="A40">
        <v>286</v>
      </c>
      <c r="B40" s="13">
        <v>41405</v>
      </c>
      <c r="C40">
        <f t="shared" si="0"/>
        <v>2013</v>
      </c>
      <c r="D40">
        <f t="shared" si="1"/>
        <v>5</v>
      </c>
      <c r="E40" t="s">
        <v>76</v>
      </c>
      <c r="F40" t="s">
        <v>138</v>
      </c>
      <c r="G40" s="14">
        <v>63194</v>
      </c>
      <c r="H40" t="s">
        <v>53</v>
      </c>
      <c r="I40" t="s">
        <v>92</v>
      </c>
      <c r="J40" t="s">
        <v>139</v>
      </c>
      <c r="K40">
        <f t="shared" si="2"/>
        <v>1</v>
      </c>
      <c r="L40">
        <f t="shared" si="3"/>
        <v>0</v>
      </c>
      <c r="M40">
        <f t="shared" si="4"/>
        <v>1</v>
      </c>
    </row>
    <row r="41" spans="1:13">
      <c r="A41">
        <v>119</v>
      </c>
      <c r="B41" s="13">
        <v>41407</v>
      </c>
      <c r="C41">
        <f t="shared" si="0"/>
        <v>2013</v>
      </c>
      <c r="D41">
        <f t="shared" si="1"/>
        <v>5</v>
      </c>
      <c r="E41" t="s">
        <v>73</v>
      </c>
      <c r="F41" t="s">
        <v>140</v>
      </c>
      <c r="G41" s="14">
        <v>58869</v>
      </c>
      <c r="H41" t="s">
        <v>81</v>
      </c>
      <c r="I41" t="s">
        <v>82</v>
      </c>
      <c r="J41" t="s">
        <v>141</v>
      </c>
      <c r="K41">
        <f t="shared" si="2"/>
        <v>1</v>
      </c>
      <c r="L41">
        <f t="shared" si="3"/>
        <v>0</v>
      </c>
      <c r="M41">
        <f t="shared" si="4"/>
        <v>1</v>
      </c>
    </row>
    <row r="42" spans="1:13">
      <c r="A42">
        <v>504</v>
      </c>
      <c r="B42" s="13">
        <v>41408</v>
      </c>
      <c r="C42">
        <f t="shared" si="0"/>
        <v>2013</v>
      </c>
      <c r="D42">
        <f t="shared" si="1"/>
        <v>5</v>
      </c>
      <c r="E42" t="s">
        <v>76</v>
      </c>
      <c r="F42" t="s">
        <v>138</v>
      </c>
      <c r="G42" s="14">
        <v>70000</v>
      </c>
      <c r="H42" t="s">
        <v>40</v>
      </c>
      <c r="I42" t="s">
        <v>142</v>
      </c>
      <c r="J42" t="s">
        <v>143</v>
      </c>
      <c r="K42">
        <f t="shared" si="2"/>
        <v>1</v>
      </c>
      <c r="L42">
        <f t="shared" si="3"/>
        <v>0</v>
      </c>
      <c r="M42">
        <f t="shared" si="4"/>
        <v>1</v>
      </c>
    </row>
    <row r="43" spans="1:13">
      <c r="A43">
        <v>583</v>
      </c>
      <c r="B43" s="13">
        <v>41408</v>
      </c>
      <c r="C43">
        <f t="shared" si="0"/>
        <v>2013</v>
      </c>
      <c r="D43">
        <f t="shared" si="1"/>
        <v>5</v>
      </c>
      <c r="E43" t="s">
        <v>73</v>
      </c>
      <c r="F43" t="s">
        <v>119</v>
      </c>
      <c r="G43" s="14">
        <v>60161</v>
      </c>
      <c r="H43" t="s">
        <v>40</v>
      </c>
      <c r="I43" t="s">
        <v>144</v>
      </c>
      <c r="J43" t="s">
        <v>145</v>
      </c>
      <c r="K43">
        <f t="shared" si="2"/>
        <v>1</v>
      </c>
      <c r="L43">
        <f t="shared" si="3"/>
        <v>0</v>
      </c>
      <c r="M43">
        <f t="shared" si="4"/>
        <v>1</v>
      </c>
    </row>
    <row r="44" spans="1:13">
      <c r="A44">
        <v>540</v>
      </c>
      <c r="B44" s="13">
        <v>41411</v>
      </c>
      <c r="C44">
        <f t="shared" si="0"/>
        <v>2013</v>
      </c>
      <c r="D44">
        <f t="shared" si="1"/>
        <v>5</v>
      </c>
      <c r="E44" t="s">
        <v>43</v>
      </c>
      <c r="F44" t="s">
        <v>44</v>
      </c>
      <c r="G44" s="14">
        <v>52111</v>
      </c>
      <c r="H44" t="s">
        <v>81</v>
      </c>
      <c r="I44" t="s">
        <v>146</v>
      </c>
      <c r="J44" t="s">
        <v>147</v>
      </c>
      <c r="K44">
        <f t="shared" si="2"/>
        <v>1</v>
      </c>
      <c r="L44">
        <f t="shared" si="3"/>
        <v>0</v>
      </c>
      <c r="M44">
        <f t="shared" si="4"/>
        <v>1</v>
      </c>
    </row>
    <row r="45" spans="1:13">
      <c r="A45">
        <v>696</v>
      </c>
      <c r="B45" s="13">
        <v>41413</v>
      </c>
      <c r="C45">
        <f t="shared" si="0"/>
        <v>2013</v>
      </c>
      <c r="D45">
        <f t="shared" si="1"/>
        <v>5</v>
      </c>
      <c r="E45" t="s">
        <v>94</v>
      </c>
      <c r="F45" t="s">
        <v>148</v>
      </c>
      <c r="G45" s="14">
        <v>67875</v>
      </c>
      <c r="H45" t="s">
        <v>57</v>
      </c>
      <c r="I45" t="s">
        <v>106</v>
      </c>
      <c r="J45" t="s">
        <v>149</v>
      </c>
      <c r="K45">
        <f t="shared" si="2"/>
        <v>1</v>
      </c>
      <c r="L45">
        <f t="shared" si="3"/>
        <v>0</v>
      </c>
      <c r="M45">
        <f t="shared" si="4"/>
        <v>1</v>
      </c>
    </row>
    <row r="46" spans="1:13">
      <c r="A46">
        <v>652</v>
      </c>
      <c r="B46" s="13">
        <v>41419</v>
      </c>
      <c r="C46">
        <f t="shared" si="0"/>
        <v>2013</v>
      </c>
      <c r="D46">
        <f t="shared" si="1"/>
        <v>5</v>
      </c>
      <c r="E46" t="s">
        <v>73</v>
      </c>
      <c r="F46" t="s">
        <v>150</v>
      </c>
      <c r="G46" s="14">
        <v>60299</v>
      </c>
      <c r="H46" t="s">
        <v>49</v>
      </c>
      <c r="I46" t="s">
        <v>151</v>
      </c>
      <c r="J46" t="s">
        <v>152</v>
      </c>
      <c r="K46">
        <f t="shared" si="2"/>
        <v>1</v>
      </c>
      <c r="L46">
        <f t="shared" si="3"/>
        <v>0</v>
      </c>
      <c r="M46">
        <f t="shared" si="4"/>
        <v>1</v>
      </c>
    </row>
    <row r="47" spans="1:13">
      <c r="A47">
        <v>308</v>
      </c>
      <c r="B47" s="13">
        <v>41420</v>
      </c>
      <c r="C47">
        <f t="shared" si="0"/>
        <v>2013</v>
      </c>
      <c r="D47">
        <f t="shared" si="1"/>
        <v>5</v>
      </c>
      <c r="E47" t="s">
        <v>38</v>
      </c>
      <c r="F47" t="s">
        <v>39</v>
      </c>
      <c r="G47" s="14">
        <v>74152</v>
      </c>
      <c r="H47" t="s">
        <v>81</v>
      </c>
      <c r="I47" t="s">
        <v>153</v>
      </c>
      <c r="J47" t="s">
        <v>154</v>
      </c>
      <c r="K47">
        <f t="shared" si="2"/>
        <v>1</v>
      </c>
      <c r="L47">
        <f t="shared" si="3"/>
        <v>0</v>
      </c>
      <c r="M47">
        <f t="shared" si="4"/>
        <v>1</v>
      </c>
    </row>
    <row r="48" spans="1:13">
      <c r="A48">
        <v>309</v>
      </c>
      <c r="B48" s="13">
        <v>41421</v>
      </c>
      <c r="C48">
        <f t="shared" si="0"/>
        <v>2013</v>
      </c>
      <c r="D48">
        <f t="shared" si="1"/>
        <v>5</v>
      </c>
      <c r="E48" t="s">
        <v>47</v>
      </c>
      <c r="F48" t="s">
        <v>155</v>
      </c>
      <c r="G48" s="14">
        <v>70911</v>
      </c>
      <c r="H48" t="s">
        <v>49</v>
      </c>
      <c r="I48" t="s">
        <v>122</v>
      </c>
      <c r="J48" t="s">
        <v>156</v>
      </c>
      <c r="K48">
        <f t="shared" si="2"/>
        <v>1</v>
      </c>
      <c r="L48">
        <f t="shared" si="3"/>
        <v>0</v>
      </c>
      <c r="M48">
        <f t="shared" si="4"/>
        <v>1</v>
      </c>
    </row>
    <row r="49" spans="1:13">
      <c r="A49">
        <v>12</v>
      </c>
      <c r="B49" s="13">
        <v>41422</v>
      </c>
      <c r="C49">
        <f t="shared" si="0"/>
        <v>2013</v>
      </c>
      <c r="D49">
        <f t="shared" si="1"/>
        <v>5</v>
      </c>
      <c r="E49" t="s">
        <v>38</v>
      </c>
      <c r="F49" t="s">
        <v>56</v>
      </c>
      <c r="G49" s="14">
        <v>40440</v>
      </c>
      <c r="H49" t="s">
        <v>81</v>
      </c>
      <c r="I49" t="s">
        <v>82</v>
      </c>
      <c r="J49" t="s">
        <v>157</v>
      </c>
      <c r="K49">
        <f t="shared" si="2"/>
        <v>1</v>
      </c>
      <c r="L49">
        <f t="shared" si="3"/>
        <v>0</v>
      </c>
      <c r="M49">
        <f t="shared" si="4"/>
        <v>1</v>
      </c>
    </row>
    <row r="50" spans="1:13">
      <c r="A50">
        <v>944</v>
      </c>
      <c r="B50" s="13">
        <v>41424</v>
      </c>
      <c r="C50">
        <f t="shared" si="0"/>
        <v>2013</v>
      </c>
      <c r="D50">
        <f t="shared" si="1"/>
        <v>5</v>
      </c>
      <c r="E50" t="s">
        <v>38</v>
      </c>
      <c r="F50" t="s">
        <v>39</v>
      </c>
      <c r="G50" s="14">
        <v>70473</v>
      </c>
      <c r="H50" t="s">
        <v>40</v>
      </c>
      <c r="I50" t="s">
        <v>158</v>
      </c>
      <c r="J50" t="s">
        <v>159</v>
      </c>
      <c r="K50">
        <f t="shared" si="2"/>
        <v>1</v>
      </c>
      <c r="L50">
        <f t="shared" si="3"/>
        <v>0</v>
      </c>
      <c r="M50">
        <f t="shared" si="4"/>
        <v>1</v>
      </c>
    </row>
    <row r="51" spans="1:13">
      <c r="A51">
        <v>325</v>
      </c>
      <c r="B51" s="13">
        <v>41428</v>
      </c>
      <c r="C51">
        <f t="shared" si="0"/>
        <v>2013</v>
      </c>
      <c r="D51">
        <f t="shared" si="1"/>
        <v>6</v>
      </c>
      <c r="E51" t="s">
        <v>76</v>
      </c>
      <c r="F51" t="s">
        <v>129</v>
      </c>
      <c r="G51" s="14">
        <v>45012</v>
      </c>
      <c r="H51" t="s">
        <v>57</v>
      </c>
      <c r="I51" t="s">
        <v>160</v>
      </c>
      <c r="J51" t="s">
        <v>161</v>
      </c>
      <c r="K51">
        <f t="shared" si="2"/>
        <v>1</v>
      </c>
      <c r="L51">
        <f t="shared" si="3"/>
        <v>0</v>
      </c>
      <c r="M51">
        <f t="shared" si="4"/>
        <v>1</v>
      </c>
    </row>
    <row r="52" spans="1:13">
      <c r="A52">
        <v>709</v>
      </c>
      <c r="B52" s="13">
        <v>41430</v>
      </c>
      <c r="C52">
        <f t="shared" si="0"/>
        <v>2013</v>
      </c>
      <c r="D52">
        <f t="shared" si="1"/>
        <v>6</v>
      </c>
      <c r="E52" t="s">
        <v>63</v>
      </c>
      <c r="F52" t="s">
        <v>162</v>
      </c>
      <c r="G52" s="14">
        <v>66237</v>
      </c>
      <c r="H52" t="s">
        <v>60</v>
      </c>
      <c r="I52" t="s">
        <v>61</v>
      </c>
      <c r="J52" t="s">
        <v>163</v>
      </c>
      <c r="K52">
        <f t="shared" si="2"/>
        <v>1</v>
      </c>
      <c r="L52">
        <f t="shared" si="3"/>
        <v>0</v>
      </c>
      <c r="M52">
        <f t="shared" si="4"/>
        <v>1</v>
      </c>
    </row>
    <row r="53" spans="1:13">
      <c r="A53">
        <v>712</v>
      </c>
      <c r="B53" s="13">
        <v>41431</v>
      </c>
      <c r="C53">
        <f t="shared" si="0"/>
        <v>2013</v>
      </c>
      <c r="D53">
        <f t="shared" si="1"/>
        <v>6</v>
      </c>
      <c r="E53" t="s">
        <v>47</v>
      </c>
      <c r="F53" t="s">
        <v>116</v>
      </c>
      <c r="G53" s="14">
        <v>74373</v>
      </c>
      <c r="H53" t="s">
        <v>53</v>
      </c>
      <c r="I53" t="s">
        <v>120</v>
      </c>
      <c r="J53" t="s">
        <v>164</v>
      </c>
      <c r="K53">
        <f t="shared" si="2"/>
        <v>1</v>
      </c>
      <c r="L53">
        <f t="shared" si="3"/>
        <v>0</v>
      </c>
      <c r="M53">
        <f t="shared" si="4"/>
        <v>1</v>
      </c>
    </row>
    <row r="54" spans="1:13">
      <c r="A54">
        <v>711</v>
      </c>
      <c r="B54" s="13">
        <v>41432</v>
      </c>
      <c r="C54">
        <f t="shared" si="0"/>
        <v>2013</v>
      </c>
      <c r="D54">
        <f t="shared" si="1"/>
        <v>6</v>
      </c>
      <c r="E54" t="s">
        <v>38</v>
      </c>
      <c r="F54" t="s">
        <v>165</v>
      </c>
      <c r="G54" s="14">
        <v>72876</v>
      </c>
      <c r="H54" t="s">
        <v>57</v>
      </c>
      <c r="I54" t="s">
        <v>58</v>
      </c>
      <c r="J54" t="s">
        <v>166</v>
      </c>
      <c r="K54">
        <f t="shared" si="2"/>
        <v>1</v>
      </c>
      <c r="L54">
        <f t="shared" si="3"/>
        <v>0</v>
      </c>
      <c r="M54">
        <f t="shared" si="4"/>
        <v>1</v>
      </c>
    </row>
    <row r="55" spans="1:13">
      <c r="A55">
        <v>717</v>
      </c>
      <c r="B55" s="13">
        <v>41437</v>
      </c>
      <c r="C55">
        <f t="shared" si="0"/>
        <v>2013</v>
      </c>
      <c r="D55">
        <f t="shared" si="1"/>
        <v>6</v>
      </c>
      <c r="E55" t="s">
        <v>76</v>
      </c>
      <c r="F55" t="s">
        <v>77</v>
      </c>
      <c r="G55" s="14">
        <v>49848</v>
      </c>
      <c r="H55" t="s">
        <v>53</v>
      </c>
      <c r="I55" t="s">
        <v>54</v>
      </c>
      <c r="J55" t="s">
        <v>167</v>
      </c>
      <c r="K55">
        <f t="shared" si="2"/>
        <v>1</v>
      </c>
      <c r="L55">
        <f t="shared" si="3"/>
        <v>0</v>
      </c>
      <c r="M55">
        <f t="shared" si="4"/>
        <v>1</v>
      </c>
    </row>
    <row r="56" spans="1:13">
      <c r="A56">
        <v>834</v>
      </c>
      <c r="B56" s="13">
        <v>41439</v>
      </c>
      <c r="C56">
        <f t="shared" si="0"/>
        <v>2013</v>
      </c>
      <c r="D56">
        <f t="shared" si="1"/>
        <v>6</v>
      </c>
      <c r="E56" t="s">
        <v>47</v>
      </c>
      <c r="F56" t="s">
        <v>136</v>
      </c>
      <c r="G56" s="14">
        <v>48230</v>
      </c>
      <c r="H56" t="s">
        <v>49</v>
      </c>
      <c r="I56" t="s">
        <v>151</v>
      </c>
      <c r="J56" t="s">
        <v>168</v>
      </c>
      <c r="K56">
        <f t="shared" si="2"/>
        <v>1</v>
      </c>
      <c r="L56">
        <f t="shared" si="3"/>
        <v>0</v>
      </c>
      <c r="M56">
        <f t="shared" si="4"/>
        <v>1</v>
      </c>
    </row>
    <row r="57" spans="1:13">
      <c r="A57">
        <v>674</v>
      </c>
      <c r="B57" s="13">
        <v>41447</v>
      </c>
      <c r="C57">
        <f t="shared" si="0"/>
        <v>2013</v>
      </c>
      <c r="D57">
        <f t="shared" si="1"/>
        <v>6</v>
      </c>
      <c r="E57" t="s">
        <v>47</v>
      </c>
      <c r="F57" t="s">
        <v>48</v>
      </c>
      <c r="G57" s="14">
        <v>70874</v>
      </c>
      <c r="H57" t="s">
        <v>57</v>
      </c>
      <c r="I57" t="s">
        <v>65</v>
      </c>
      <c r="J57" t="s">
        <v>169</v>
      </c>
      <c r="K57">
        <f t="shared" si="2"/>
        <v>1</v>
      </c>
      <c r="L57">
        <f t="shared" si="3"/>
        <v>0</v>
      </c>
      <c r="M57">
        <f t="shared" si="4"/>
        <v>1</v>
      </c>
    </row>
    <row r="58" spans="1:13">
      <c r="A58">
        <v>606</v>
      </c>
      <c r="B58" s="13">
        <v>41452</v>
      </c>
      <c r="C58">
        <f t="shared" si="0"/>
        <v>2013</v>
      </c>
      <c r="D58">
        <f t="shared" si="1"/>
        <v>6</v>
      </c>
      <c r="E58" t="s">
        <v>76</v>
      </c>
      <c r="F58" t="s">
        <v>138</v>
      </c>
      <c r="G58" s="14">
        <v>52516</v>
      </c>
      <c r="H58" t="s">
        <v>40</v>
      </c>
      <c r="I58" t="s">
        <v>41</v>
      </c>
      <c r="J58" t="s">
        <v>170</v>
      </c>
      <c r="K58">
        <f t="shared" si="2"/>
        <v>1</v>
      </c>
      <c r="L58">
        <f t="shared" si="3"/>
        <v>0</v>
      </c>
      <c r="M58">
        <f t="shared" si="4"/>
        <v>1</v>
      </c>
    </row>
    <row r="59" spans="1:13">
      <c r="A59">
        <v>607</v>
      </c>
      <c r="B59" s="13">
        <v>41453</v>
      </c>
      <c r="C59">
        <f t="shared" si="0"/>
        <v>2013</v>
      </c>
      <c r="D59">
        <f t="shared" si="1"/>
        <v>6</v>
      </c>
      <c r="E59" t="s">
        <v>76</v>
      </c>
      <c r="F59" t="s">
        <v>110</v>
      </c>
      <c r="G59" s="14">
        <v>61708</v>
      </c>
      <c r="H59" t="s">
        <v>40</v>
      </c>
      <c r="I59" t="s">
        <v>158</v>
      </c>
      <c r="J59" t="s">
        <v>171</v>
      </c>
      <c r="K59">
        <f t="shared" si="2"/>
        <v>1</v>
      </c>
      <c r="L59">
        <f t="shared" si="3"/>
        <v>0</v>
      </c>
      <c r="M59">
        <f t="shared" si="4"/>
        <v>1</v>
      </c>
    </row>
    <row r="60" spans="1:13">
      <c r="A60">
        <v>749</v>
      </c>
      <c r="B60" s="13">
        <v>41454</v>
      </c>
      <c r="C60">
        <f t="shared" si="0"/>
        <v>2013</v>
      </c>
      <c r="D60">
        <f t="shared" si="1"/>
        <v>6</v>
      </c>
      <c r="E60" t="s">
        <v>76</v>
      </c>
      <c r="F60" t="s">
        <v>138</v>
      </c>
      <c r="G60" s="14">
        <v>44640</v>
      </c>
      <c r="H60" t="s">
        <v>40</v>
      </c>
      <c r="I60" t="s">
        <v>158</v>
      </c>
      <c r="J60" t="s">
        <v>172</v>
      </c>
      <c r="K60">
        <f t="shared" si="2"/>
        <v>1</v>
      </c>
      <c r="L60">
        <f t="shared" si="3"/>
        <v>0</v>
      </c>
      <c r="M60">
        <f t="shared" si="4"/>
        <v>1</v>
      </c>
    </row>
    <row r="61" spans="1:13">
      <c r="A61">
        <v>888</v>
      </c>
      <c r="B61" s="13">
        <v>41467</v>
      </c>
      <c r="C61">
        <f t="shared" si="0"/>
        <v>2013</v>
      </c>
      <c r="D61">
        <f t="shared" si="1"/>
        <v>7</v>
      </c>
      <c r="E61" t="s">
        <v>73</v>
      </c>
      <c r="F61" t="s">
        <v>74</v>
      </c>
      <c r="G61" s="14">
        <v>40204</v>
      </c>
      <c r="H61" t="s">
        <v>81</v>
      </c>
      <c r="I61" t="s">
        <v>153</v>
      </c>
      <c r="J61" t="s">
        <v>173</v>
      </c>
      <c r="K61">
        <f t="shared" si="2"/>
        <v>1</v>
      </c>
      <c r="L61">
        <f t="shared" si="3"/>
        <v>0</v>
      </c>
      <c r="M61">
        <f t="shared" si="4"/>
        <v>1</v>
      </c>
    </row>
    <row r="62" spans="1:13">
      <c r="A62">
        <v>919</v>
      </c>
      <c r="B62" s="13">
        <v>41473</v>
      </c>
      <c r="C62">
        <f t="shared" si="0"/>
        <v>2013</v>
      </c>
      <c r="D62">
        <f t="shared" si="1"/>
        <v>7</v>
      </c>
      <c r="E62" t="s">
        <v>47</v>
      </c>
      <c r="F62" t="s">
        <v>136</v>
      </c>
      <c r="G62" s="14">
        <v>61789</v>
      </c>
      <c r="H62" t="s">
        <v>60</v>
      </c>
      <c r="I62" t="s">
        <v>61</v>
      </c>
      <c r="J62" t="s">
        <v>174</v>
      </c>
      <c r="K62">
        <f t="shared" si="2"/>
        <v>1</v>
      </c>
      <c r="L62">
        <f t="shared" si="3"/>
        <v>0</v>
      </c>
      <c r="M62">
        <f t="shared" si="4"/>
        <v>1</v>
      </c>
    </row>
    <row r="63" spans="1:13">
      <c r="A63">
        <v>348</v>
      </c>
      <c r="B63" s="13">
        <v>41477</v>
      </c>
      <c r="C63">
        <f t="shared" si="0"/>
        <v>2013</v>
      </c>
      <c r="D63">
        <f t="shared" si="1"/>
        <v>7</v>
      </c>
      <c r="E63" t="s">
        <v>76</v>
      </c>
      <c r="F63" t="s">
        <v>110</v>
      </c>
      <c r="G63" s="14">
        <v>52475</v>
      </c>
      <c r="H63" t="s">
        <v>40</v>
      </c>
      <c r="I63" t="s">
        <v>85</v>
      </c>
      <c r="J63" t="s">
        <v>175</v>
      </c>
      <c r="K63">
        <f t="shared" si="2"/>
        <v>1</v>
      </c>
      <c r="L63">
        <f t="shared" si="3"/>
        <v>0</v>
      </c>
      <c r="M63">
        <f t="shared" si="4"/>
        <v>1</v>
      </c>
    </row>
    <row r="64" spans="1:13">
      <c r="A64">
        <v>778</v>
      </c>
      <c r="B64" s="13">
        <v>41486</v>
      </c>
      <c r="C64">
        <f t="shared" si="0"/>
        <v>2013</v>
      </c>
      <c r="D64">
        <f t="shared" si="1"/>
        <v>7</v>
      </c>
      <c r="E64" t="s">
        <v>73</v>
      </c>
      <c r="F64" t="s">
        <v>74</v>
      </c>
      <c r="G64" s="14">
        <v>73274</v>
      </c>
      <c r="H64" t="s">
        <v>53</v>
      </c>
      <c r="I64" t="s">
        <v>68</v>
      </c>
      <c r="J64" t="s">
        <v>176</v>
      </c>
      <c r="K64">
        <f t="shared" si="2"/>
        <v>1</v>
      </c>
      <c r="L64">
        <f t="shared" si="3"/>
        <v>0</v>
      </c>
      <c r="M64">
        <f t="shared" si="4"/>
        <v>1</v>
      </c>
    </row>
    <row r="65" spans="1:13">
      <c r="A65">
        <v>477</v>
      </c>
      <c r="B65" s="13">
        <v>41492</v>
      </c>
      <c r="C65">
        <f t="shared" si="0"/>
        <v>2013</v>
      </c>
      <c r="D65">
        <f t="shared" si="1"/>
        <v>8</v>
      </c>
      <c r="E65" t="s">
        <v>38</v>
      </c>
      <c r="F65" t="s">
        <v>39</v>
      </c>
      <c r="G65" s="14">
        <v>76553</v>
      </c>
      <c r="H65" t="s">
        <v>40</v>
      </c>
      <c r="I65" t="s">
        <v>45</v>
      </c>
      <c r="J65" t="s">
        <v>177</v>
      </c>
      <c r="K65">
        <f t="shared" si="2"/>
        <v>1</v>
      </c>
      <c r="L65">
        <f t="shared" si="3"/>
        <v>0</v>
      </c>
      <c r="M65">
        <f t="shared" si="4"/>
        <v>1</v>
      </c>
    </row>
    <row r="66" spans="1:13">
      <c r="A66">
        <v>914</v>
      </c>
      <c r="B66" s="13">
        <v>41493</v>
      </c>
      <c r="C66">
        <f t="shared" ref="C66:C129" si="5">YEAR(B66)</f>
        <v>2013</v>
      </c>
      <c r="D66">
        <f t="shared" ref="D66:D129" si="6">MONTH(B66)</f>
        <v>8</v>
      </c>
      <c r="E66" t="s">
        <v>38</v>
      </c>
      <c r="F66" t="s">
        <v>165</v>
      </c>
      <c r="G66" s="14">
        <v>62688.77</v>
      </c>
      <c r="H66" t="s">
        <v>57</v>
      </c>
      <c r="I66" t="s">
        <v>65</v>
      </c>
      <c r="J66" t="s">
        <v>178</v>
      </c>
      <c r="K66">
        <f t="shared" ref="K66:K129" si="7">IF(AND(OR(sel_ano="Todos",C66=sel_ano),OR(sel_pais="Todos",H66=sel_pais),OR(sel_marca="Todas",E66=sel_marca)),1,0)</f>
        <v>1</v>
      </c>
      <c r="L66">
        <f t="shared" ref="L66:L129" si="8">IF(sel_ano="Todos",0,IF(AND(C66=sel_ano-1,OR(sel_pais="Todos",H66=sel_pais),OR(sel_marca="Todas",E66=sel_marca)),1,0))</f>
        <v>0</v>
      </c>
      <c r="M66">
        <f t="shared" ref="M66:M129" si="9">IF(AND(OR(sel_pais="Todos",H66=sel_pais),OR(sel_marca="Todas",E66=sel_marca)),1,0)</f>
        <v>1</v>
      </c>
    </row>
    <row r="67" spans="1:13">
      <c r="A67">
        <v>761</v>
      </c>
      <c r="B67" s="13">
        <v>41505</v>
      </c>
      <c r="C67">
        <f t="shared" si="5"/>
        <v>2013</v>
      </c>
      <c r="D67">
        <f t="shared" si="6"/>
        <v>8</v>
      </c>
      <c r="E67" t="s">
        <v>63</v>
      </c>
      <c r="F67" t="s">
        <v>179</v>
      </c>
      <c r="G67" s="14">
        <v>65421</v>
      </c>
      <c r="H67" t="s">
        <v>40</v>
      </c>
      <c r="I67" t="s">
        <v>180</v>
      </c>
      <c r="J67" t="s">
        <v>181</v>
      </c>
      <c r="K67">
        <f t="shared" si="7"/>
        <v>1</v>
      </c>
      <c r="L67">
        <f t="shared" si="8"/>
        <v>0</v>
      </c>
      <c r="M67">
        <f t="shared" si="9"/>
        <v>1</v>
      </c>
    </row>
    <row r="68" spans="1:13">
      <c r="A68">
        <v>609</v>
      </c>
      <c r="B68" s="13">
        <v>41510</v>
      </c>
      <c r="C68">
        <f t="shared" si="5"/>
        <v>2013</v>
      </c>
      <c r="D68">
        <f t="shared" si="6"/>
        <v>8</v>
      </c>
      <c r="E68" t="s">
        <v>47</v>
      </c>
      <c r="F68" t="s">
        <v>182</v>
      </c>
      <c r="G68" s="14">
        <v>78754</v>
      </c>
      <c r="H68" t="s">
        <v>53</v>
      </c>
      <c r="I68" t="s">
        <v>68</v>
      </c>
      <c r="J68" t="s">
        <v>183</v>
      </c>
      <c r="K68">
        <f t="shared" si="7"/>
        <v>1</v>
      </c>
      <c r="L68">
        <f t="shared" si="8"/>
        <v>0</v>
      </c>
      <c r="M68">
        <f t="shared" si="9"/>
        <v>1</v>
      </c>
    </row>
    <row r="69" spans="1:13">
      <c r="A69">
        <v>395</v>
      </c>
      <c r="B69" s="13">
        <v>41511</v>
      </c>
      <c r="C69">
        <f t="shared" si="5"/>
        <v>2013</v>
      </c>
      <c r="D69">
        <f t="shared" si="6"/>
        <v>8</v>
      </c>
      <c r="E69" t="s">
        <v>76</v>
      </c>
      <c r="F69" t="s">
        <v>91</v>
      </c>
      <c r="G69" s="14">
        <v>69370</v>
      </c>
      <c r="H69" t="s">
        <v>81</v>
      </c>
      <c r="I69" t="s">
        <v>153</v>
      </c>
      <c r="J69" t="s">
        <v>184</v>
      </c>
      <c r="K69">
        <f t="shared" si="7"/>
        <v>1</v>
      </c>
      <c r="L69">
        <f t="shared" si="8"/>
        <v>0</v>
      </c>
      <c r="M69">
        <f t="shared" si="9"/>
        <v>1</v>
      </c>
    </row>
    <row r="70" spans="1:13">
      <c r="A70">
        <v>845</v>
      </c>
      <c r="B70" s="13">
        <v>41513</v>
      </c>
      <c r="C70">
        <f t="shared" si="5"/>
        <v>2013</v>
      </c>
      <c r="D70">
        <f t="shared" si="6"/>
        <v>8</v>
      </c>
      <c r="E70" t="s">
        <v>38</v>
      </c>
      <c r="F70" t="s">
        <v>39</v>
      </c>
      <c r="G70" s="14">
        <v>73797</v>
      </c>
      <c r="H70" t="s">
        <v>40</v>
      </c>
      <c r="I70" t="s">
        <v>100</v>
      </c>
      <c r="J70" t="s">
        <v>185</v>
      </c>
      <c r="K70">
        <f t="shared" si="7"/>
        <v>1</v>
      </c>
      <c r="L70">
        <f t="shared" si="8"/>
        <v>0</v>
      </c>
      <c r="M70">
        <f t="shared" si="9"/>
        <v>1</v>
      </c>
    </row>
    <row r="71" spans="1:13">
      <c r="A71">
        <v>865</v>
      </c>
      <c r="B71" s="13">
        <v>41513</v>
      </c>
      <c r="C71">
        <f t="shared" si="5"/>
        <v>2013</v>
      </c>
      <c r="D71">
        <f t="shared" si="6"/>
        <v>8</v>
      </c>
      <c r="E71" t="s">
        <v>94</v>
      </c>
      <c r="F71" t="s">
        <v>186</v>
      </c>
      <c r="G71" s="14">
        <v>42416</v>
      </c>
      <c r="H71" t="s">
        <v>81</v>
      </c>
      <c r="I71" t="s">
        <v>146</v>
      </c>
      <c r="J71" t="s">
        <v>187</v>
      </c>
      <c r="K71">
        <f t="shared" si="7"/>
        <v>1</v>
      </c>
      <c r="L71">
        <f t="shared" si="8"/>
        <v>0</v>
      </c>
      <c r="M71">
        <f t="shared" si="9"/>
        <v>1</v>
      </c>
    </row>
    <row r="72" spans="1:13">
      <c r="A72">
        <v>886</v>
      </c>
      <c r="B72" s="13">
        <v>41516</v>
      </c>
      <c r="C72">
        <f t="shared" si="5"/>
        <v>2013</v>
      </c>
      <c r="D72">
        <f t="shared" si="6"/>
        <v>8</v>
      </c>
      <c r="E72" t="s">
        <v>73</v>
      </c>
      <c r="F72" t="s">
        <v>140</v>
      </c>
      <c r="G72" s="14">
        <v>76030</v>
      </c>
      <c r="H72" t="s">
        <v>60</v>
      </c>
      <c r="I72" t="s">
        <v>188</v>
      </c>
      <c r="J72" t="s">
        <v>189</v>
      </c>
      <c r="K72">
        <f t="shared" si="7"/>
        <v>1</v>
      </c>
      <c r="L72">
        <f t="shared" si="8"/>
        <v>0</v>
      </c>
      <c r="M72">
        <f t="shared" si="9"/>
        <v>1</v>
      </c>
    </row>
    <row r="73" spans="1:13">
      <c r="A73">
        <v>663</v>
      </c>
      <c r="B73" s="13">
        <v>41518</v>
      </c>
      <c r="C73">
        <f t="shared" si="5"/>
        <v>2013</v>
      </c>
      <c r="D73">
        <f t="shared" si="6"/>
        <v>9</v>
      </c>
      <c r="E73" t="s">
        <v>38</v>
      </c>
      <c r="F73" t="s">
        <v>39</v>
      </c>
      <c r="G73" s="14">
        <v>74162</v>
      </c>
      <c r="H73" t="s">
        <v>81</v>
      </c>
      <c r="I73" t="s">
        <v>190</v>
      </c>
      <c r="J73" t="s">
        <v>191</v>
      </c>
      <c r="K73">
        <f t="shared" si="7"/>
        <v>1</v>
      </c>
      <c r="L73">
        <f t="shared" si="8"/>
        <v>0</v>
      </c>
      <c r="M73">
        <f t="shared" si="9"/>
        <v>1</v>
      </c>
    </row>
    <row r="74" spans="1:13">
      <c r="A74">
        <v>68</v>
      </c>
      <c r="B74" s="13">
        <v>41532</v>
      </c>
      <c r="C74">
        <f t="shared" si="5"/>
        <v>2013</v>
      </c>
      <c r="D74">
        <f t="shared" si="6"/>
        <v>9</v>
      </c>
      <c r="E74" t="s">
        <v>94</v>
      </c>
      <c r="F74" t="s">
        <v>192</v>
      </c>
      <c r="G74" s="14">
        <v>58490</v>
      </c>
      <c r="H74" t="s">
        <v>60</v>
      </c>
      <c r="I74" t="s">
        <v>71</v>
      </c>
      <c r="J74" t="s">
        <v>193</v>
      </c>
      <c r="K74">
        <f t="shared" si="7"/>
        <v>1</v>
      </c>
      <c r="L74">
        <f t="shared" si="8"/>
        <v>0</v>
      </c>
      <c r="M74">
        <f t="shared" si="9"/>
        <v>1</v>
      </c>
    </row>
    <row r="75" spans="1:13">
      <c r="A75">
        <v>464</v>
      </c>
      <c r="B75" s="13">
        <v>41532</v>
      </c>
      <c r="C75">
        <f t="shared" si="5"/>
        <v>2013</v>
      </c>
      <c r="D75">
        <f t="shared" si="6"/>
        <v>9</v>
      </c>
      <c r="E75" t="s">
        <v>43</v>
      </c>
      <c r="F75" t="s">
        <v>134</v>
      </c>
      <c r="G75" s="14">
        <v>47027</v>
      </c>
      <c r="H75" t="s">
        <v>57</v>
      </c>
      <c r="I75" t="s">
        <v>106</v>
      </c>
      <c r="J75" t="s">
        <v>194</v>
      </c>
      <c r="K75">
        <f t="shared" si="7"/>
        <v>1</v>
      </c>
      <c r="L75">
        <f t="shared" si="8"/>
        <v>0</v>
      </c>
      <c r="M75">
        <f t="shared" si="9"/>
        <v>1</v>
      </c>
    </row>
    <row r="76" spans="1:13">
      <c r="A76">
        <v>125</v>
      </c>
      <c r="B76" s="13">
        <v>41539</v>
      </c>
      <c r="C76">
        <f t="shared" si="5"/>
        <v>2013</v>
      </c>
      <c r="D76">
        <f t="shared" si="6"/>
        <v>9</v>
      </c>
      <c r="E76" t="s">
        <v>47</v>
      </c>
      <c r="F76" t="s">
        <v>136</v>
      </c>
      <c r="G76" s="14">
        <v>52320</v>
      </c>
      <c r="H76" t="s">
        <v>53</v>
      </c>
      <c r="I76" t="s">
        <v>92</v>
      </c>
      <c r="J76" t="s">
        <v>195</v>
      </c>
      <c r="K76">
        <f t="shared" si="7"/>
        <v>1</v>
      </c>
      <c r="L76">
        <f t="shared" si="8"/>
        <v>0</v>
      </c>
      <c r="M76">
        <f t="shared" si="9"/>
        <v>1</v>
      </c>
    </row>
    <row r="77" spans="1:13">
      <c r="A77">
        <v>27</v>
      </c>
      <c r="B77" s="13">
        <v>41542</v>
      </c>
      <c r="C77">
        <f t="shared" si="5"/>
        <v>2013</v>
      </c>
      <c r="D77">
        <f t="shared" si="6"/>
        <v>9</v>
      </c>
      <c r="E77" t="s">
        <v>47</v>
      </c>
      <c r="F77" t="s">
        <v>155</v>
      </c>
      <c r="G77" s="14">
        <v>79451</v>
      </c>
      <c r="H77" t="s">
        <v>57</v>
      </c>
      <c r="I77" t="s">
        <v>65</v>
      </c>
      <c r="J77" t="s">
        <v>196</v>
      </c>
      <c r="K77">
        <f t="shared" si="7"/>
        <v>1</v>
      </c>
      <c r="L77">
        <f t="shared" si="8"/>
        <v>0</v>
      </c>
      <c r="M77">
        <f t="shared" si="9"/>
        <v>1</v>
      </c>
    </row>
    <row r="78" spans="1:13">
      <c r="A78">
        <v>715</v>
      </c>
      <c r="B78" s="13">
        <v>41542</v>
      </c>
      <c r="C78">
        <f t="shared" si="5"/>
        <v>2013</v>
      </c>
      <c r="D78">
        <f t="shared" si="6"/>
        <v>9</v>
      </c>
      <c r="E78" t="s">
        <v>43</v>
      </c>
      <c r="F78" t="s">
        <v>197</v>
      </c>
      <c r="G78" s="14">
        <v>72473</v>
      </c>
      <c r="H78" t="s">
        <v>53</v>
      </c>
      <c r="I78" t="s">
        <v>68</v>
      </c>
      <c r="J78" t="s">
        <v>198</v>
      </c>
      <c r="K78">
        <f t="shared" si="7"/>
        <v>1</v>
      </c>
      <c r="L78">
        <f t="shared" si="8"/>
        <v>0</v>
      </c>
      <c r="M78">
        <f t="shared" si="9"/>
        <v>1</v>
      </c>
    </row>
    <row r="79" spans="1:13">
      <c r="A79">
        <v>741</v>
      </c>
      <c r="B79" s="13">
        <v>41542</v>
      </c>
      <c r="C79">
        <f t="shared" si="5"/>
        <v>2013</v>
      </c>
      <c r="D79">
        <f t="shared" si="6"/>
        <v>9</v>
      </c>
      <c r="E79" t="s">
        <v>43</v>
      </c>
      <c r="F79" t="s">
        <v>70</v>
      </c>
      <c r="G79" s="14">
        <v>74631</v>
      </c>
      <c r="H79" t="s">
        <v>60</v>
      </c>
      <c r="I79" t="s">
        <v>199</v>
      </c>
      <c r="J79" t="s">
        <v>200</v>
      </c>
      <c r="K79">
        <f t="shared" si="7"/>
        <v>1</v>
      </c>
      <c r="L79">
        <f t="shared" si="8"/>
        <v>0</v>
      </c>
      <c r="M79">
        <f t="shared" si="9"/>
        <v>1</v>
      </c>
    </row>
    <row r="80" spans="1:13">
      <c r="A80">
        <v>568</v>
      </c>
      <c r="B80" s="13">
        <v>41545</v>
      </c>
      <c r="C80">
        <f t="shared" si="5"/>
        <v>2013</v>
      </c>
      <c r="D80">
        <f t="shared" si="6"/>
        <v>9</v>
      </c>
      <c r="E80" t="s">
        <v>38</v>
      </c>
      <c r="F80" t="s">
        <v>112</v>
      </c>
      <c r="G80" s="14">
        <v>67157</v>
      </c>
      <c r="H80" t="s">
        <v>60</v>
      </c>
      <c r="I80" t="s">
        <v>61</v>
      </c>
      <c r="J80" t="s">
        <v>201</v>
      </c>
      <c r="K80">
        <f t="shared" si="7"/>
        <v>1</v>
      </c>
      <c r="L80">
        <f t="shared" si="8"/>
        <v>0</v>
      </c>
      <c r="M80">
        <f t="shared" si="9"/>
        <v>1</v>
      </c>
    </row>
    <row r="81" spans="1:13">
      <c r="A81">
        <v>239</v>
      </c>
      <c r="B81" s="13">
        <v>41548</v>
      </c>
      <c r="C81">
        <f t="shared" si="5"/>
        <v>2013</v>
      </c>
      <c r="D81">
        <f t="shared" si="6"/>
        <v>10</v>
      </c>
      <c r="E81" t="s">
        <v>38</v>
      </c>
      <c r="F81" t="s">
        <v>39</v>
      </c>
      <c r="G81" s="14">
        <v>55324</v>
      </c>
      <c r="H81" t="s">
        <v>40</v>
      </c>
      <c r="I81" t="s">
        <v>100</v>
      </c>
      <c r="J81" t="s">
        <v>202</v>
      </c>
      <c r="K81">
        <f t="shared" si="7"/>
        <v>1</v>
      </c>
      <c r="L81">
        <f t="shared" si="8"/>
        <v>0</v>
      </c>
      <c r="M81">
        <f t="shared" si="9"/>
        <v>1</v>
      </c>
    </row>
    <row r="82" spans="1:13">
      <c r="A82">
        <v>67</v>
      </c>
      <c r="B82" s="13">
        <v>41549</v>
      </c>
      <c r="C82">
        <f t="shared" si="5"/>
        <v>2013</v>
      </c>
      <c r="D82">
        <f t="shared" si="6"/>
        <v>10</v>
      </c>
      <c r="E82" t="s">
        <v>38</v>
      </c>
      <c r="F82" t="s">
        <v>39</v>
      </c>
      <c r="G82" s="14">
        <v>58392</v>
      </c>
      <c r="H82" t="s">
        <v>40</v>
      </c>
      <c r="I82" t="s">
        <v>85</v>
      </c>
      <c r="J82" t="s">
        <v>203</v>
      </c>
      <c r="K82">
        <f t="shared" si="7"/>
        <v>1</v>
      </c>
      <c r="L82">
        <f t="shared" si="8"/>
        <v>0</v>
      </c>
      <c r="M82">
        <f t="shared" si="9"/>
        <v>1</v>
      </c>
    </row>
    <row r="83" spans="1:13">
      <c r="A83">
        <v>469</v>
      </c>
      <c r="B83" s="13">
        <v>41559</v>
      </c>
      <c r="C83">
        <f t="shared" si="5"/>
        <v>2013</v>
      </c>
      <c r="D83">
        <f t="shared" si="6"/>
        <v>10</v>
      </c>
      <c r="E83" t="s">
        <v>47</v>
      </c>
      <c r="F83" t="s">
        <v>182</v>
      </c>
      <c r="G83" s="14">
        <v>71554</v>
      </c>
      <c r="H83" t="s">
        <v>57</v>
      </c>
      <c r="I83" t="s">
        <v>160</v>
      </c>
      <c r="J83" t="s">
        <v>204</v>
      </c>
      <c r="K83">
        <f t="shared" si="7"/>
        <v>1</v>
      </c>
      <c r="L83">
        <f t="shared" si="8"/>
        <v>0</v>
      </c>
      <c r="M83">
        <f t="shared" si="9"/>
        <v>1</v>
      </c>
    </row>
    <row r="84" spans="1:13">
      <c r="A84">
        <v>93</v>
      </c>
      <c r="B84" s="13">
        <v>41566</v>
      </c>
      <c r="C84">
        <f t="shared" si="5"/>
        <v>2013</v>
      </c>
      <c r="D84">
        <f t="shared" si="6"/>
        <v>10</v>
      </c>
      <c r="E84" t="s">
        <v>73</v>
      </c>
      <c r="F84" t="s">
        <v>102</v>
      </c>
      <c r="G84" s="14">
        <v>69787</v>
      </c>
      <c r="H84" t="s">
        <v>49</v>
      </c>
      <c r="I84" t="s">
        <v>50</v>
      </c>
      <c r="J84" t="s">
        <v>205</v>
      </c>
      <c r="K84">
        <f t="shared" si="7"/>
        <v>1</v>
      </c>
      <c r="L84">
        <f t="shared" si="8"/>
        <v>0</v>
      </c>
      <c r="M84">
        <f t="shared" si="9"/>
        <v>1</v>
      </c>
    </row>
    <row r="85" spans="1:13">
      <c r="A85">
        <v>679</v>
      </c>
      <c r="B85" s="13">
        <v>41571</v>
      </c>
      <c r="C85">
        <f t="shared" si="5"/>
        <v>2013</v>
      </c>
      <c r="D85">
        <f t="shared" si="6"/>
        <v>10</v>
      </c>
      <c r="E85" t="s">
        <v>43</v>
      </c>
      <c r="F85" t="s">
        <v>44</v>
      </c>
      <c r="G85" s="14">
        <v>68713</v>
      </c>
      <c r="H85" t="s">
        <v>40</v>
      </c>
      <c r="I85" t="s">
        <v>144</v>
      </c>
      <c r="J85" t="s">
        <v>206</v>
      </c>
      <c r="K85">
        <f t="shared" si="7"/>
        <v>1</v>
      </c>
      <c r="L85">
        <f t="shared" si="8"/>
        <v>0</v>
      </c>
      <c r="M85">
        <f t="shared" si="9"/>
        <v>1</v>
      </c>
    </row>
    <row r="86" spans="1:13">
      <c r="A86">
        <v>702</v>
      </c>
      <c r="B86" s="13">
        <v>41575</v>
      </c>
      <c r="C86">
        <f t="shared" si="5"/>
        <v>2013</v>
      </c>
      <c r="D86">
        <f t="shared" si="6"/>
        <v>10</v>
      </c>
      <c r="E86" t="s">
        <v>76</v>
      </c>
      <c r="F86" t="s">
        <v>207</v>
      </c>
      <c r="G86" s="14">
        <v>76267</v>
      </c>
      <c r="H86" t="s">
        <v>40</v>
      </c>
      <c r="I86" t="s">
        <v>85</v>
      </c>
      <c r="J86" t="s">
        <v>208</v>
      </c>
      <c r="K86">
        <f t="shared" si="7"/>
        <v>1</v>
      </c>
      <c r="L86">
        <f t="shared" si="8"/>
        <v>0</v>
      </c>
      <c r="M86">
        <f t="shared" si="9"/>
        <v>1</v>
      </c>
    </row>
    <row r="87" spans="1:13">
      <c r="A87">
        <v>465</v>
      </c>
      <c r="B87" s="13">
        <v>41585</v>
      </c>
      <c r="C87">
        <f t="shared" si="5"/>
        <v>2013</v>
      </c>
      <c r="D87">
        <f t="shared" si="6"/>
        <v>11</v>
      </c>
      <c r="E87" t="s">
        <v>76</v>
      </c>
      <c r="F87" t="s">
        <v>138</v>
      </c>
      <c r="G87" s="14">
        <v>44534</v>
      </c>
      <c r="H87" t="s">
        <v>81</v>
      </c>
      <c r="I87" t="s">
        <v>82</v>
      </c>
      <c r="J87" t="s">
        <v>209</v>
      </c>
      <c r="K87">
        <f t="shared" si="7"/>
        <v>1</v>
      </c>
      <c r="L87">
        <f t="shared" si="8"/>
        <v>0</v>
      </c>
      <c r="M87">
        <f t="shared" si="9"/>
        <v>1</v>
      </c>
    </row>
    <row r="88" spans="1:13">
      <c r="A88">
        <v>697</v>
      </c>
      <c r="B88" s="13">
        <v>41585</v>
      </c>
      <c r="C88">
        <f t="shared" si="5"/>
        <v>2013</v>
      </c>
      <c r="D88">
        <f t="shared" si="6"/>
        <v>11</v>
      </c>
      <c r="E88" t="s">
        <v>73</v>
      </c>
      <c r="F88" t="s">
        <v>74</v>
      </c>
      <c r="G88" s="14">
        <v>56858</v>
      </c>
      <c r="H88" t="s">
        <v>60</v>
      </c>
      <c r="I88" t="s">
        <v>199</v>
      </c>
      <c r="J88" t="s">
        <v>210</v>
      </c>
      <c r="K88">
        <f t="shared" si="7"/>
        <v>1</v>
      </c>
      <c r="L88">
        <f t="shared" si="8"/>
        <v>0</v>
      </c>
      <c r="M88">
        <f t="shared" si="9"/>
        <v>1</v>
      </c>
    </row>
    <row r="89" spans="1:13">
      <c r="A89">
        <v>437</v>
      </c>
      <c r="B89" s="13">
        <v>41586</v>
      </c>
      <c r="C89">
        <f t="shared" si="5"/>
        <v>2013</v>
      </c>
      <c r="D89">
        <f t="shared" si="6"/>
        <v>11</v>
      </c>
      <c r="E89" t="s">
        <v>76</v>
      </c>
      <c r="F89" t="s">
        <v>129</v>
      </c>
      <c r="G89" s="14">
        <v>60144</v>
      </c>
      <c r="H89" t="s">
        <v>40</v>
      </c>
      <c r="I89" t="s">
        <v>100</v>
      </c>
      <c r="J89" t="s">
        <v>211</v>
      </c>
      <c r="K89">
        <f t="shared" si="7"/>
        <v>1</v>
      </c>
      <c r="L89">
        <f t="shared" si="8"/>
        <v>0</v>
      </c>
      <c r="M89">
        <f t="shared" si="9"/>
        <v>1</v>
      </c>
    </row>
    <row r="90" spans="1:13">
      <c r="A90">
        <v>820</v>
      </c>
      <c r="B90" s="13">
        <v>41587</v>
      </c>
      <c r="C90">
        <f t="shared" si="5"/>
        <v>2013</v>
      </c>
      <c r="D90">
        <f t="shared" si="6"/>
        <v>11</v>
      </c>
      <c r="E90" t="s">
        <v>47</v>
      </c>
      <c r="F90" t="s">
        <v>116</v>
      </c>
      <c r="G90" s="14">
        <v>42015</v>
      </c>
      <c r="H90" t="s">
        <v>57</v>
      </c>
      <c r="I90" t="s">
        <v>58</v>
      </c>
      <c r="J90" t="s">
        <v>212</v>
      </c>
      <c r="K90">
        <f t="shared" si="7"/>
        <v>1</v>
      </c>
      <c r="L90">
        <f t="shared" si="8"/>
        <v>0</v>
      </c>
      <c r="M90">
        <f t="shared" si="9"/>
        <v>1</v>
      </c>
    </row>
    <row r="91" spans="1:13">
      <c r="A91">
        <v>137</v>
      </c>
      <c r="B91" s="13">
        <v>41588</v>
      </c>
      <c r="C91">
        <f t="shared" si="5"/>
        <v>2013</v>
      </c>
      <c r="D91">
        <f t="shared" si="6"/>
        <v>11</v>
      </c>
      <c r="E91" t="s">
        <v>47</v>
      </c>
      <c r="F91" t="s">
        <v>48</v>
      </c>
      <c r="G91" s="14">
        <v>79775</v>
      </c>
      <c r="H91" t="s">
        <v>53</v>
      </c>
      <c r="I91" t="s">
        <v>78</v>
      </c>
      <c r="J91" t="s">
        <v>213</v>
      </c>
      <c r="K91">
        <f t="shared" si="7"/>
        <v>1</v>
      </c>
      <c r="L91">
        <f t="shared" si="8"/>
        <v>0</v>
      </c>
      <c r="M91">
        <f t="shared" si="9"/>
        <v>1</v>
      </c>
    </row>
    <row r="92" spans="1:13">
      <c r="A92">
        <v>305</v>
      </c>
      <c r="B92" s="13">
        <v>41589</v>
      </c>
      <c r="C92">
        <f t="shared" si="5"/>
        <v>2013</v>
      </c>
      <c r="D92">
        <f t="shared" si="6"/>
        <v>11</v>
      </c>
      <c r="E92" t="s">
        <v>38</v>
      </c>
      <c r="F92" t="s">
        <v>39</v>
      </c>
      <c r="G92" s="14">
        <v>64551</v>
      </c>
      <c r="H92" t="s">
        <v>40</v>
      </c>
      <c r="I92" t="s">
        <v>144</v>
      </c>
      <c r="J92" t="s">
        <v>214</v>
      </c>
      <c r="K92">
        <f t="shared" si="7"/>
        <v>1</v>
      </c>
      <c r="L92">
        <f t="shared" si="8"/>
        <v>0</v>
      </c>
      <c r="M92">
        <f t="shared" si="9"/>
        <v>1</v>
      </c>
    </row>
    <row r="93" spans="1:13">
      <c r="A93">
        <v>300</v>
      </c>
      <c r="B93" s="13">
        <v>41590</v>
      </c>
      <c r="C93">
        <f t="shared" si="5"/>
        <v>2013</v>
      </c>
      <c r="D93">
        <f t="shared" si="6"/>
        <v>11</v>
      </c>
      <c r="E93" t="s">
        <v>76</v>
      </c>
      <c r="F93" t="s">
        <v>129</v>
      </c>
      <c r="G93" s="14">
        <v>60804</v>
      </c>
      <c r="H93" t="s">
        <v>40</v>
      </c>
      <c r="I93" t="s">
        <v>45</v>
      </c>
      <c r="J93" t="s">
        <v>215</v>
      </c>
      <c r="K93">
        <f t="shared" si="7"/>
        <v>1</v>
      </c>
      <c r="L93">
        <f t="shared" si="8"/>
        <v>0</v>
      </c>
      <c r="M93">
        <f t="shared" si="9"/>
        <v>1</v>
      </c>
    </row>
    <row r="94" spans="1:13">
      <c r="A94">
        <v>917</v>
      </c>
      <c r="B94" s="13">
        <v>41614</v>
      </c>
      <c r="C94">
        <f t="shared" si="5"/>
        <v>2013</v>
      </c>
      <c r="D94">
        <f t="shared" si="6"/>
        <v>12</v>
      </c>
      <c r="E94" t="s">
        <v>76</v>
      </c>
      <c r="F94" t="s">
        <v>216</v>
      </c>
      <c r="G94" s="14">
        <v>71695</v>
      </c>
      <c r="H94" t="s">
        <v>53</v>
      </c>
      <c r="I94" t="s">
        <v>120</v>
      </c>
      <c r="J94" t="s">
        <v>217</v>
      </c>
      <c r="K94">
        <f t="shared" si="7"/>
        <v>1</v>
      </c>
      <c r="L94">
        <f t="shared" si="8"/>
        <v>0</v>
      </c>
      <c r="M94">
        <f t="shared" si="9"/>
        <v>1</v>
      </c>
    </row>
    <row r="95" spans="1:13">
      <c r="A95">
        <v>401</v>
      </c>
      <c r="B95" s="13">
        <v>41615</v>
      </c>
      <c r="C95">
        <f t="shared" si="5"/>
        <v>2013</v>
      </c>
      <c r="D95">
        <f t="shared" si="6"/>
        <v>12</v>
      </c>
      <c r="E95" t="s">
        <v>73</v>
      </c>
      <c r="F95" t="s">
        <v>102</v>
      </c>
      <c r="G95" s="14">
        <v>55147</v>
      </c>
      <c r="H95" t="s">
        <v>60</v>
      </c>
      <c r="I95" t="s">
        <v>71</v>
      </c>
      <c r="J95" t="s">
        <v>218</v>
      </c>
      <c r="K95">
        <f t="shared" si="7"/>
        <v>1</v>
      </c>
      <c r="L95">
        <f t="shared" si="8"/>
        <v>0</v>
      </c>
      <c r="M95">
        <f t="shared" si="9"/>
        <v>1</v>
      </c>
    </row>
    <row r="96" spans="1:13">
      <c r="A96">
        <v>892</v>
      </c>
      <c r="B96" s="13">
        <v>41618</v>
      </c>
      <c r="C96">
        <f t="shared" si="5"/>
        <v>2013</v>
      </c>
      <c r="D96">
        <f t="shared" si="6"/>
        <v>12</v>
      </c>
      <c r="E96" t="s">
        <v>47</v>
      </c>
      <c r="F96" t="s">
        <v>52</v>
      </c>
      <c r="G96" s="14">
        <v>79400</v>
      </c>
      <c r="H96" t="s">
        <v>60</v>
      </c>
      <c r="I96" t="s">
        <v>71</v>
      </c>
      <c r="J96" t="s">
        <v>219</v>
      </c>
      <c r="K96">
        <f t="shared" si="7"/>
        <v>1</v>
      </c>
      <c r="L96">
        <f t="shared" si="8"/>
        <v>0</v>
      </c>
      <c r="M96">
        <f t="shared" si="9"/>
        <v>1</v>
      </c>
    </row>
    <row r="97" spans="1:13">
      <c r="A97">
        <v>357</v>
      </c>
      <c r="B97" s="13">
        <v>41619</v>
      </c>
      <c r="C97">
        <f t="shared" si="5"/>
        <v>2013</v>
      </c>
      <c r="D97">
        <f t="shared" si="6"/>
        <v>12</v>
      </c>
      <c r="E97" t="s">
        <v>73</v>
      </c>
      <c r="F97" t="s">
        <v>74</v>
      </c>
      <c r="G97" s="14">
        <v>62229</v>
      </c>
      <c r="H97" t="s">
        <v>53</v>
      </c>
      <c r="I97" t="s">
        <v>54</v>
      </c>
      <c r="J97" t="s">
        <v>220</v>
      </c>
      <c r="K97">
        <f t="shared" si="7"/>
        <v>1</v>
      </c>
      <c r="L97">
        <f t="shared" si="8"/>
        <v>0</v>
      </c>
      <c r="M97">
        <f t="shared" si="9"/>
        <v>1</v>
      </c>
    </row>
    <row r="98" spans="1:13">
      <c r="A98">
        <v>688</v>
      </c>
      <c r="B98" s="13">
        <v>41620</v>
      </c>
      <c r="C98">
        <f t="shared" si="5"/>
        <v>2013</v>
      </c>
      <c r="D98">
        <f t="shared" si="6"/>
        <v>12</v>
      </c>
      <c r="E98" t="s">
        <v>38</v>
      </c>
      <c r="F98" t="s">
        <v>126</v>
      </c>
      <c r="G98" s="14">
        <v>44754</v>
      </c>
      <c r="H98" t="s">
        <v>81</v>
      </c>
      <c r="I98" t="s">
        <v>108</v>
      </c>
      <c r="J98" t="s">
        <v>221</v>
      </c>
      <c r="K98">
        <f t="shared" si="7"/>
        <v>1</v>
      </c>
      <c r="L98">
        <f t="shared" si="8"/>
        <v>0</v>
      </c>
      <c r="M98">
        <f t="shared" si="9"/>
        <v>1</v>
      </c>
    </row>
    <row r="99" spans="1:13">
      <c r="A99">
        <v>577</v>
      </c>
      <c r="B99" s="13">
        <v>41621</v>
      </c>
      <c r="C99">
        <f t="shared" si="5"/>
        <v>2013</v>
      </c>
      <c r="D99">
        <f t="shared" si="6"/>
        <v>12</v>
      </c>
      <c r="E99" t="s">
        <v>43</v>
      </c>
      <c r="F99" t="s">
        <v>197</v>
      </c>
      <c r="G99" s="14">
        <v>61037</v>
      </c>
      <c r="H99" t="s">
        <v>53</v>
      </c>
      <c r="I99" t="s">
        <v>92</v>
      </c>
      <c r="J99" t="s">
        <v>222</v>
      </c>
      <c r="K99">
        <f t="shared" si="7"/>
        <v>1</v>
      </c>
      <c r="L99">
        <f t="shared" si="8"/>
        <v>0</v>
      </c>
      <c r="M99">
        <f t="shared" si="9"/>
        <v>1</v>
      </c>
    </row>
    <row r="100" spans="1:13">
      <c r="A100">
        <v>306</v>
      </c>
      <c r="B100" s="13">
        <v>41622</v>
      </c>
      <c r="C100">
        <f t="shared" si="5"/>
        <v>2013</v>
      </c>
      <c r="D100">
        <f t="shared" si="6"/>
        <v>12</v>
      </c>
      <c r="E100" t="s">
        <v>73</v>
      </c>
      <c r="F100" t="s">
        <v>223</v>
      </c>
      <c r="G100" s="14">
        <v>43552</v>
      </c>
      <c r="H100" t="s">
        <v>60</v>
      </c>
      <c r="I100" t="s">
        <v>199</v>
      </c>
      <c r="J100" t="s">
        <v>224</v>
      </c>
      <c r="K100">
        <f t="shared" si="7"/>
        <v>1</v>
      </c>
      <c r="L100">
        <f t="shared" si="8"/>
        <v>0</v>
      </c>
      <c r="M100">
        <f t="shared" si="9"/>
        <v>1</v>
      </c>
    </row>
    <row r="101" spans="1:13">
      <c r="A101">
        <v>13</v>
      </c>
      <c r="B101" s="13">
        <v>41623</v>
      </c>
      <c r="C101">
        <f t="shared" si="5"/>
        <v>2013</v>
      </c>
      <c r="D101">
        <f t="shared" si="6"/>
        <v>12</v>
      </c>
      <c r="E101" t="s">
        <v>47</v>
      </c>
      <c r="F101" t="s">
        <v>52</v>
      </c>
      <c r="G101" s="14">
        <v>47978</v>
      </c>
      <c r="H101" t="s">
        <v>53</v>
      </c>
      <c r="I101" t="s">
        <v>68</v>
      </c>
      <c r="J101" t="s">
        <v>225</v>
      </c>
      <c r="K101">
        <f t="shared" si="7"/>
        <v>1</v>
      </c>
      <c r="L101">
        <f t="shared" si="8"/>
        <v>0</v>
      </c>
      <c r="M101">
        <f t="shared" si="9"/>
        <v>1</v>
      </c>
    </row>
    <row r="102" spans="1:13">
      <c r="A102">
        <v>251</v>
      </c>
      <c r="B102" s="13">
        <v>41624</v>
      </c>
      <c r="C102">
        <f t="shared" si="5"/>
        <v>2013</v>
      </c>
      <c r="D102">
        <f t="shared" si="6"/>
        <v>12</v>
      </c>
      <c r="E102" t="s">
        <v>76</v>
      </c>
      <c r="F102" t="s">
        <v>77</v>
      </c>
      <c r="G102" s="14">
        <v>69546</v>
      </c>
      <c r="H102" t="s">
        <v>81</v>
      </c>
      <c r="I102" t="s">
        <v>153</v>
      </c>
      <c r="J102" t="s">
        <v>226</v>
      </c>
      <c r="K102">
        <f t="shared" si="7"/>
        <v>1</v>
      </c>
      <c r="L102">
        <f t="shared" si="8"/>
        <v>0</v>
      </c>
      <c r="M102">
        <f t="shared" si="9"/>
        <v>1</v>
      </c>
    </row>
    <row r="103" spans="1:13">
      <c r="A103">
        <v>765</v>
      </c>
      <c r="B103" s="13">
        <v>41625</v>
      </c>
      <c r="C103">
        <f t="shared" si="5"/>
        <v>2013</v>
      </c>
      <c r="D103">
        <f t="shared" si="6"/>
        <v>12</v>
      </c>
      <c r="E103" t="s">
        <v>38</v>
      </c>
      <c r="F103" t="s">
        <v>227</v>
      </c>
      <c r="G103" s="14">
        <v>48003</v>
      </c>
      <c r="H103" t="s">
        <v>57</v>
      </c>
      <c r="I103" t="s">
        <v>106</v>
      </c>
      <c r="J103" t="s">
        <v>228</v>
      </c>
      <c r="K103">
        <f t="shared" si="7"/>
        <v>1</v>
      </c>
      <c r="L103">
        <f t="shared" si="8"/>
        <v>0</v>
      </c>
      <c r="M103">
        <f t="shared" si="9"/>
        <v>1</v>
      </c>
    </row>
    <row r="104" spans="1:13">
      <c r="A104">
        <v>801</v>
      </c>
      <c r="B104" s="13">
        <v>41626</v>
      </c>
      <c r="C104">
        <f t="shared" si="5"/>
        <v>2013</v>
      </c>
      <c r="D104">
        <f t="shared" si="6"/>
        <v>12</v>
      </c>
      <c r="E104" t="s">
        <v>76</v>
      </c>
      <c r="F104" t="s">
        <v>138</v>
      </c>
      <c r="G104" s="14">
        <v>69902</v>
      </c>
      <c r="H104" t="s">
        <v>81</v>
      </c>
      <c r="I104" t="s">
        <v>190</v>
      </c>
      <c r="J104" t="s">
        <v>229</v>
      </c>
      <c r="K104">
        <f t="shared" si="7"/>
        <v>1</v>
      </c>
      <c r="L104">
        <f t="shared" si="8"/>
        <v>0</v>
      </c>
      <c r="M104">
        <f t="shared" si="9"/>
        <v>1</v>
      </c>
    </row>
    <row r="105" spans="1:13">
      <c r="A105">
        <v>452</v>
      </c>
      <c r="B105" s="13">
        <v>41627</v>
      </c>
      <c r="C105">
        <f t="shared" si="5"/>
        <v>2013</v>
      </c>
      <c r="D105">
        <f t="shared" si="6"/>
        <v>12</v>
      </c>
      <c r="E105" t="s">
        <v>63</v>
      </c>
      <c r="F105" t="s">
        <v>124</v>
      </c>
      <c r="G105" s="14">
        <v>61067</v>
      </c>
      <c r="H105" t="s">
        <v>57</v>
      </c>
      <c r="I105" t="s">
        <v>106</v>
      </c>
      <c r="J105" t="s">
        <v>230</v>
      </c>
      <c r="K105">
        <f t="shared" si="7"/>
        <v>1</v>
      </c>
      <c r="L105">
        <f t="shared" si="8"/>
        <v>0</v>
      </c>
      <c r="M105">
        <f t="shared" si="9"/>
        <v>1</v>
      </c>
    </row>
    <row r="106" spans="1:13">
      <c r="A106">
        <v>2</v>
      </c>
      <c r="B106" s="13">
        <v>41628</v>
      </c>
      <c r="C106">
        <f t="shared" si="5"/>
        <v>2013</v>
      </c>
      <c r="D106">
        <f t="shared" si="6"/>
        <v>12</v>
      </c>
      <c r="E106" t="s">
        <v>47</v>
      </c>
      <c r="F106" t="s">
        <v>136</v>
      </c>
      <c r="G106" s="14">
        <v>53060</v>
      </c>
      <c r="H106" t="s">
        <v>57</v>
      </c>
      <c r="I106" t="s">
        <v>231</v>
      </c>
      <c r="J106" t="s">
        <v>232</v>
      </c>
      <c r="K106">
        <f t="shared" si="7"/>
        <v>1</v>
      </c>
      <c r="L106">
        <f t="shared" si="8"/>
        <v>0</v>
      </c>
      <c r="M106">
        <f t="shared" si="9"/>
        <v>1</v>
      </c>
    </row>
    <row r="107" spans="1:13">
      <c r="A107">
        <v>131</v>
      </c>
      <c r="B107" s="13">
        <v>41628</v>
      </c>
      <c r="C107">
        <f t="shared" si="5"/>
        <v>2013</v>
      </c>
      <c r="D107">
        <f t="shared" si="6"/>
        <v>12</v>
      </c>
      <c r="E107" t="s">
        <v>47</v>
      </c>
      <c r="F107" t="s">
        <v>48</v>
      </c>
      <c r="G107" s="14">
        <v>48612</v>
      </c>
      <c r="H107" t="s">
        <v>40</v>
      </c>
      <c r="I107" t="s">
        <v>100</v>
      </c>
      <c r="J107" t="s">
        <v>233</v>
      </c>
      <c r="K107">
        <f t="shared" si="7"/>
        <v>1</v>
      </c>
      <c r="L107">
        <f t="shared" si="8"/>
        <v>0</v>
      </c>
      <c r="M107">
        <f t="shared" si="9"/>
        <v>1</v>
      </c>
    </row>
    <row r="108" spans="1:13">
      <c r="A108">
        <v>950</v>
      </c>
      <c r="B108" s="13">
        <v>41628</v>
      </c>
      <c r="C108">
        <f t="shared" si="5"/>
        <v>2013</v>
      </c>
      <c r="D108">
        <f t="shared" si="6"/>
        <v>12</v>
      </c>
      <c r="E108" t="s">
        <v>73</v>
      </c>
      <c r="F108" t="s">
        <v>102</v>
      </c>
      <c r="G108" s="14">
        <v>65747</v>
      </c>
      <c r="H108" t="s">
        <v>60</v>
      </c>
      <c r="I108" t="s">
        <v>61</v>
      </c>
      <c r="J108" t="s">
        <v>234</v>
      </c>
      <c r="K108">
        <f t="shared" si="7"/>
        <v>1</v>
      </c>
      <c r="L108">
        <f t="shared" si="8"/>
        <v>0</v>
      </c>
      <c r="M108">
        <f t="shared" si="9"/>
        <v>1</v>
      </c>
    </row>
    <row r="109" spans="1:13">
      <c r="A109">
        <v>793</v>
      </c>
      <c r="B109" s="13">
        <v>41629</v>
      </c>
      <c r="C109">
        <f t="shared" si="5"/>
        <v>2013</v>
      </c>
      <c r="D109">
        <f t="shared" si="6"/>
        <v>12</v>
      </c>
      <c r="E109" t="s">
        <v>38</v>
      </c>
      <c r="F109" t="s">
        <v>165</v>
      </c>
      <c r="G109" s="14">
        <v>50851</v>
      </c>
      <c r="H109" t="s">
        <v>81</v>
      </c>
      <c r="I109" t="s">
        <v>190</v>
      </c>
      <c r="J109" t="s">
        <v>235</v>
      </c>
      <c r="K109">
        <f t="shared" si="7"/>
        <v>1</v>
      </c>
      <c r="L109">
        <f t="shared" si="8"/>
        <v>0</v>
      </c>
      <c r="M109">
        <f t="shared" si="9"/>
        <v>1</v>
      </c>
    </row>
    <row r="110" spans="1:13">
      <c r="A110">
        <v>56</v>
      </c>
      <c r="B110" s="13">
        <v>41631</v>
      </c>
      <c r="C110">
        <f t="shared" si="5"/>
        <v>2013</v>
      </c>
      <c r="D110">
        <f t="shared" si="6"/>
        <v>12</v>
      </c>
      <c r="E110" t="s">
        <v>38</v>
      </c>
      <c r="F110" t="s">
        <v>236</v>
      </c>
      <c r="G110" s="14">
        <v>65199</v>
      </c>
      <c r="H110" t="s">
        <v>81</v>
      </c>
      <c r="I110" t="s">
        <v>190</v>
      </c>
      <c r="J110" t="s">
        <v>237</v>
      </c>
      <c r="K110">
        <f t="shared" si="7"/>
        <v>1</v>
      </c>
      <c r="L110">
        <f t="shared" si="8"/>
        <v>0</v>
      </c>
      <c r="M110">
        <f t="shared" si="9"/>
        <v>1</v>
      </c>
    </row>
    <row r="111" spans="1:13">
      <c r="A111">
        <v>721</v>
      </c>
      <c r="B111" s="13">
        <v>41631</v>
      </c>
      <c r="C111">
        <f t="shared" si="5"/>
        <v>2013</v>
      </c>
      <c r="D111">
        <f t="shared" si="6"/>
        <v>12</v>
      </c>
      <c r="E111" t="s">
        <v>63</v>
      </c>
      <c r="F111" t="s">
        <v>179</v>
      </c>
      <c r="G111" s="14">
        <v>76497.41</v>
      </c>
      <c r="H111" t="s">
        <v>49</v>
      </c>
      <c r="I111" t="s">
        <v>122</v>
      </c>
      <c r="J111" t="s">
        <v>238</v>
      </c>
      <c r="K111">
        <f t="shared" si="7"/>
        <v>1</v>
      </c>
      <c r="L111">
        <f t="shared" si="8"/>
        <v>0</v>
      </c>
      <c r="M111">
        <f t="shared" si="9"/>
        <v>1</v>
      </c>
    </row>
    <row r="112" spans="1:13">
      <c r="A112">
        <v>167</v>
      </c>
      <c r="B112" s="13">
        <v>41633</v>
      </c>
      <c r="C112">
        <f t="shared" si="5"/>
        <v>2013</v>
      </c>
      <c r="D112">
        <f t="shared" si="6"/>
        <v>12</v>
      </c>
      <c r="E112" t="s">
        <v>43</v>
      </c>
      <c r="F112" t="s">
        <v>134</v>
      </c>
      <c r="G112" s="14">
        <v>78208</v>
      </c>
      <c r="H112" t="s">
        <v>60</v>
      </c>
      <c r="I112" t="s">
        <v>188</v>
      </c>
      <c r="J112" t="s">
        <v>239</v>
      </c>
      <c r="K112">
        <f t="shared" si="7"/>
        <v>1</v>
      </c>
      <c r="L112">
        <f t="shared" si="8"/>
        <v>0</v>
      </c>
      <c r="M112">
        <f t="shared" si="9"/>
        <v>1</v>
      </c>
    </row>
    <row r="113" spans="1:13">
      <c r="A113">
        <v>763</v>
      </c>
      <c r="B113" s="13">
        <v>41633</v>
      </c>
      <c r="C113">
        <f t="shared" si="5"/>
        <v>2013</v>
      </c>
      <c r="D113">
        <f t="shared" si="6"/>
        <v>12</v>
      </c>
      <c r="E113" t="s">
        <v>76</v>
      </c>
      <c r="F113" t="s">
        <v>138</v>
      </c>
      <c r="G113" s="14">
        <v>52615</v>
      </c>
      <c r="H113" t="s">
        <v>49</v>
      </c>
      <c r="I113" t="s">
        <v>103</v>
      </c>
      <c r="J113" t="s">
        <v>240</v>
      </c>
      <c r="K113">
        <f t="shared" si="7"/>
        <v>1</v>
      </c>
      <c r="L113">
        <f t="shared" si="8"/>
        <v>0</v>
      </c>
      <c r="M113">
        <f t="shared" si="9"/>
        <v>1</v>
      </c>
    </row>
    <row r="114" spans="1:13">
      <c r="A114">
        <v>397</v>
      </c>
      <c r="B114" s="13">
        <v>41637</v>
      </c>
      <c r="C114">
        <f t="shared" si="5"/>
        <v>2013</v>
      </c>
      <c r="D114">
        <f t="shared" si="6"/>
        <v>12</v>
      </c>
      <c r="E114" t="s">
        <v>43</v>
      </c>
      <c r="F114" t="s">
        <v>87</v>
      </c>
      <c r="G114" s="14">
        <v>64640</v>
      </c>
      <c r="H114" t="s">
        <v>57</v>
      </c>
      <c r="I114" t="s">
        <v>65</v>
      </c>
      <c r="J114" t="s">
        <v>241</v>
      </c>
      <c r="K114">
        <f t="shared" si="7"/>
        <v>1</v>
      </c>
      <c r="L114">
        <f t="shared" si="8"/>
        <v>0</v>
      </c>
      <c r="M114">
        <f t="shared" si="9"/>
        <v>1</v>
      </c>
    </row>
    <row r="115" spans="1:13">
      <c r="A115">
        <v>754</v>
      </c>
      <c r="B115" s="13">
        <v>41637</v>
      </c>
      <c r="C115">
        <f t="shared" si="5"/>
        <v>2013</v>
      </c>
      <c r="D115">
        <f t="shared" si="6"/>
        <v>12</v>
      </c>
      <c r="E115" t="s">
        <v>47</v>
      </c>
      <c r="F115" t="s">
        <v>48</v>
      </c>
      <c r="G115" s="14">
        <v>48920</v>
      </c>
      <c r="H115" t="s">
        <v>53</v>
      </c>
      <c r="I115" t="s">
        <v>78</v>
      </c>
      <c r="J115" t="s">
        <v>242</v>
      </c>
      <c r="K115">
        <f t="shared" si="7"/>
        <v>1</v>
      </c>
      <c r="L115">
        <f t="shared" si="8"/>
        <v>0</v>
      </c>
      <c r="M115">
        <f t="shared" si="9"/>
        <v>1</v>
      </c>
    </row>
    <row r="116" spans="1:13">
      <c r="A116">
        <v>791</v>
      </c>
      <c r="B116" s="13">
        <v>41639</v>
      </c>
      <c r="C116">
        <f t="shared" si="5"/>
        <v>2013</v>
      </c>
      <c r="D116">
        <f t="shared" si="6"/>
        <v>12</v>
      </c>
      <c r="E116" t="s">
        <v>63</v>
      </c>
      <c r="F116" t="s">
        <v>243</v>
      </c>
      <c r="G116" s="14">
        <v>62432</v>
      </c>
      <c r="H116" t="s">
        <v>40</v>
      </c>
      <c r="I116" t="s">
        <v>142</v>
      </c>
      <c r="J116" t="s">
        <v>244</v>
      </c>
      <c r="K116">
        <f t="shared" si="7"/>
        <v>1</v>
      </c>
      <c r="L116">
        <f t="shared" si="8"/>
        <v>0</v>
      </c>
      <c r="M116">
        <f t="shared" si="9"/>
        <v>1</v>
      </c>
    </row>
    <row r="117" spans="1:13">
      <c r="A117">
        <v>289</v>
      </c>
      <c r="B117" s="13">
        <v>41640</v>
      </c>
      <c r="C117">
        <f t="shared" si="5"/>
        <v>2014</v>
      </c>
      <c r="D117">
        <f t="shared" si="6"/>
        <v>1</v>
      </c>
      <c r="E117" t="s">
        <v>38</v>
      </c>
      <c r="F117" t="s">
        <v>112</v>
      </c>
      <c r="G117" s="14">
        <v>42917</v>
      </c>
      <c r="H117" t="s">
        <v>60</v>
      </c>
      <c r="I117" t="s">
        <v>199</v>
      </c>
      <c r="J117" t="s">
        <v>245</v>
      </c>
      <c r="K117">
        <f t="shared" si="7"/>
        <v>1</v>
      </c>
      <c r="L117">
        <f t="shared" si="8"/>
        <v>0</v>
      </c>
      <c r="M117">
        <f t="shared" si="9"/>
        <v>1</v>
      </c>
    </row>
    <row r="118" spans="1:13">
      <c r="A118">
        <v>423</v>
      </c>
      <c r="B118" s="13">
        <v>41641</v>
      </c>
      <c r="C118">
        <f t="shared" si="5"/>
        <v>2014</v>
      </c>
      <c r="D118">
        <f t="shared" si="6"/>
        <v>1</v>
      </c>
      <c r="E118" t="s">
        <v>47</v>
      </c>
      <c r="F118" t="s">
        <v>136</v>
      </c>
      <c r="G118" s="14">
        <v>53486</v>
      </c>
      <c r="H118" t="s">
        <v>60</v>
      </c>
      <c r="I118" t="s">
        <v>71</v>
      </c>
      <c r="J118" t="s">
        <v>246</v>
      </c>
      <c r="K118">
        <f t="shared" si="7"/>
        <v>1</v>
      </c>
      <c r="L118">
        <f t="shared" si="8"/>
        <v>0</v>
      </c>
      <c r="M118">
        <f t="shared" si="9"/>
        <v>1</v>
      </c>
    </row>
    <row r="119" spans="1:13">
      <c r="A119">
        <v>701</v>
      </c>
      <c r="B119" s="13">
        <v>41647</v>
      </c>
      <c r="C119">
        <f t="shared" si="5"/>
        <v>2014</v>
      </c>
      <c r="D119">
        <f t="shared" si="6"/>
        <v>1</v>
      </c>
      <c r="E119" t="s">
        <v>73</v>
      </c>
      <c r="F119" t="s">
        <v>74</v>
      </c>
      <c r="G119" s="14">
        <v>57635</v>
      </c>
      <c r="H119" t="s">
        <v>60</v>
      </c>
      <c r="I119" t="s">
        <v>188</v>
      </c>
      <c r="J119" t="s">
        <v>247</v>
      </c>
      <c r="K119">
        <f t="shared" si="7"/>
        <v>1</v>
      </c>
      <c r="L119">
        <f t="shared" si="8"/>
        <v>0</v>
      </c>
      <c r="M119">
        <f t="shared" si="9"/>
        <v>1</v>
      </c>
    </row>
    <row r="120" spans="1:13">
      <c r="A120">
        <v>176</v>
      </c>
      <c r="B120" s="13">
        <v>41650</v>
      </c>
      <c r="C120">
        <f t="shared" si="5"/>
        <v>2014</v>
      </c>
      <c r="D120">
        <f t="shared" si="6"/>
        <v>1</v>
      </c>
      <c r="E120" t="s">
        <v>63</v>
      </c>
      <c r="F120" t="s">
        <v>248</v>
      </c>
      <c r="G120" s="14">
        <v>53771</v>
      </c>
      <c r="H120" t="s">
        <v>81</v>
      </c>
      <c r="I120" t="s">
        <v>108</v>
      </c>
      <c r="J120" t="s">
        <v>249</v>
      </c>
      <c r="K120">
        <f t="shared" si="7"/>
        <v>1</v>
      </c>
      <c r="L120">
        <f t="shared" si="8"/>
        <v>0</v>
      </c>
      <c r="M120">
        <f t="shared" si="9"/>
        <v>1</v>
      </c>
    </row>
    <row r="121" spans="1:13">
      <c r="A121">
        <v>444</v>
      </c>
      <c r="B121" s="13">
        <v>41650</v>
      </c>
      <c r="C121">
        <f t="shared" si="5"/>
        <v>2014</v>
      </c>
      <c r="D121">
        <f t="shared" si="6"/>
        <v>1</v>
      </c>
      <c r="E121" t="s">
        <v>38</v>
      </c>
      <c r="F121" t="s">
        <v>236</v>
      </c>
      <c r="G121" s="14">
        <v>51080</v>
      </c>
      <c r="H121" t="s">
        <v>49</v>
      </c>
      <c r="I121" t="s">
        <v>122</v>
      </c>
      <c r="J121" t="s">
        <v>250</v>
      </c>
      <c r="K121">
        <f t="shared" si="7"/>
        <v>1</v>
      </c>
      <c r="L121">
        <f t="shared" si="8"/>
        <v>0</v>
      </c>
      <c r="M121">
        <f t="shared" si="9"/>
        <v>1</v>
      </c>
    </row>
    <row r="122" spans="1:13">
      <c r="A122">
        <v>190</v>
      </c>
      <c r="B122" s="13">
        <v>41654</v>
      </c>
      <c r="C122">
        <f t="shared" si="5"/>
        <v>2014</v>
      </c>
      <c r="D122">
        <f t="shared" si="6"/>
        <v>1</v>
      </c>
      <c r="E122" t="s">
        <v>43</v>
      </c>
      <c r="F122" t="s">
        <v>251</v>
      </c>
      <c r="G122" s="14">
        <v>56790</v>
      </c>
      <c r="H122" t="s">
        <v>60</v>
      </c>
      <c r="I122" t="s">
        <v>188</v>
      </c>
      <c r="J122" t="s">
        <v>252</v>
      </c>
      <c r="K122">
        <f t="shared" si="7"/>
        <v>1</v>
      </c>
      <c r="L122">
        <f t="shared" si="8"/>
        <v>0</v>
      </c>
      <c r="M122">
        <f t="shared" si="9"/>
        <v>1</v>
      </c>
    </row>
    <row r="123" spans="1:13">
      <c r="A123">
        <v>727</v>
      </c>
      <c r="B123" s="13">
        <v>41659</v>
      </c>
      <c r="C123">
        <f t="shared" si="5"/>
        <v>2014</v>
      </c>
      <c r="D123">
        <f t="shared" si="6"/>
        <v>1</v>
      </c>
      <c r="E123" t="s">
        <v>47</v>
      </c>
      <c r="F123" t="s">
        <v>52</v>
      </c>
      <c r="G123" s="14">
        <v>76302</v>
      </c>
      <c r="H123" t="s">
        <v>40</v>
      </c>
      <c r="I123" t="s">
        <v>45</v>
      </c>
      <c r="J123" t="s">
        <v>253</v>
      </c>
      <c r="K123">
        <f t="shared" si="7"/>
        <v>1</v>
      </c>
      <c r="L123">
        <f t="shared" si="8"/>
        <v>0</v>
      </c>
      <c r="M123">
        <f t="shared" si="9"/>
        <v>1</v>
      </c>
    </row>
    <row r="124" spans="1:13">
      <c r="A124">
        <v>897</v>
      </c>
      <c r="B124" s="13">
        <v>41659</v>
      </c>
      <c r="C124">
        <f t="shared" si="5"/>
        <v>2014</v>
      </c>
      <c r="D124">
        <f t="shared" si="6"/>
        <v>1</v>
      </c>
      <c r="E124" t="s">
        <v>38</v>
      </c>
      <c r="F124" t="s">
        <v>126</v>
      </c>
      <c r="G124" s="14">
        <v>74844</v>
      </c>
      <c r="H124" t="s">
        <v>57</v>
      </c>
      <c r="I124" t="s">
        <v>160</v>
      </c>
      <c r="J124" t="s">
        <v>254</v>
      </c>
      <c r="K124">
        <f t="shared" si="7"/>
        <v>1</v>
      </c>
      <c r="L124">
        <f t="shared" si="8"/>
        <v>0</v>
      </c>
      <c r="M124">
        <f t="shared" si="9"/>
        <v>1</v>
      </c>
    </row>
    <row r="125" spans="1:13">
      <c r="A125">
        <v>25</v>
      </c>
      <c r="B125" s="13">
        <v>41664</v>
      </c>
      <c r="C125">
        <f t="shared" si="5"/>
        <v>2014</v>
      </c>
      <c r="D125">
        <f t="shared" si="6"/>
        <v>1</v>
      </c>
      <c r="E125" t="s">
        <v>76</v>
      </c>
      <c r="F125" t="s">
        <v>110</v>
      </c>
      <c r="G125" s="14">
        <v>50710</v>
      </c>
      <c r="H125" t="s">
        <v>60</v>
      </c>
      <c r="I125" t="s">
        <v>199</v>
      </c>
      <c r="J125" t="s">
        <v>255</v>
      </c>
      <c r="K125">
        <f t="shared" si="7"/>
        <v>1</v>
      </c>
      <c r="L125">
        <f t="shared" si="8"/>
        <v>0</v>
      </c>
      <c r="M125">
        <f t="shared" si="9"/>
        <v>1</v>
      </c>
    </row>
    <row r="126" spans="1:13">
      <c r="A126">
        <v>781</v>
      </c>
      <c r="B126" s="13">
        <v>41665</v>
      </c>
      <c r="C126">
        <f t="shared" si="5"/>
        <v>2014</v>
      </c>
      <c r="D126">
        <f t="shared" si="6"/>
        <v>1</v>
      </c>
      <c r="E126" t="s">
        <v>38</v>
      </c>
      <c r="F126" t="s">
        <v>165</v>
      </c>
      <c r="G126" s="14">
        <v>42180</v>
      </c>
      <c r="H126" t="s">
        <v>53</v>
      </c>
      <c r="I126" t="s">
        <v>92</v>
      </c>
      <c r="J126" t="s">
        <v>256</v>
      </c>
      <c r="K126">
        <f t="shared" si="7"/>
        <v>1</v>
      </c>
      <c r="L126">
        <f t="shared" si="8"/>
        <v>0</v>
      </c>
      <c r="M126">
        <f t="shared" si="9"/>
        <v>1</v>
      </c>
    </row>
    <row r="127" spans="1:13">
      <c r="A127">
        <v>591</v>
      </c>
      <c r="B127" s="13">
        <v>41666</v>
      </c>
      <c r="C127">
        <f t="shared" si="5"/>
        <v>2014</v>
      </c>
      <c r="D127">
        <f t="shared" si="6"/>
        <v>1</v>
      </c>
      <c r="E127" t="s">
        <v>73</v>
      </c>
      <c r="F127" t="s">
        <v>74</v>
      </c>
      <c r="G127" s="14">
        <v>66837</v>
      </c>
      <c r="H127" t="s">
        <v>40</v>
      </c>
      <c r="I127" t="s">
        <v>41</v>
      </c>
      <c r="J127" t="s">
        <v>257</v>
      </c>
      <c r="K127">
        <f t="shared" si="7"/>
        <v>1</v>
      </c>
      <c r="L127">
        <f t="shared" si="8"/>
        <v>0</v>
      </c>
      <c r="M127">
        <f t="shared" si="9"/>
        <v>1</v>
      </c>
    </row>
    <row r="128" spans="1:13">
      <c r="A128">
        <v>867</v>
      </c>
      <c r="B128" s="13">
        <v>41666</v>
      </c>
      <c r="C128">
        <f t="shared" si="5"/>
        <v>2014</v>
      </c>
      <c r="D128">
        <f t="shared" si="6"/>
        <v>1</v>
      </c>
      <c r="E128" t="s">
        <v>43</v>
      </c>
      <c r="F128" t="s">
        <v>67</v>
      </c>
      <c r="G128" s="14">
        <v>58834</v>
      </c>
      <c r="H128" t="s">
        <v>49</v>
      </c>
      <c r="I128" t="s">
        <v>122</v>
      </c>
      <c r="J128" t="s">
        <v>258</v>
      </c>
      <c r="K128">
        <f t="shared" si="7"/>
        <v>1</v>
      </c>
      <c r="L128">
        <f t="shared" si="8"/>
        <v>0</v>
      </c>
      <c r="M128">
        <f t="shared" si="9"/>
        <v>1</v>
      </c>
    </row>
    <row r="129" spans="1:13">
      <c r="A129">
        <v>49</v>
      </c>
      <c r="B129" s="13">
        <v>41668</v>
      </c>
      <c r="C129">
        <f t="shared" si="5"/>
        <v>2014</v>
      </c>
      <c r="D129">
        <f t="shared" si="6"/>
        <v>1</v>
      </c>
      <c r="E129" t="s">
        <v>76</v>
      </c>
      <c r="F129" t="s">
        <v>129</v>
      </c>
      <c r="G129" s="14">
        <v>49126</v>
      </c>
      <c r="H129" t="s">
        <v>81</v>
      </c>
      <c r="I129" t="s">
        <v>146</v>
      </c>
      <c r="J129" t="s">
        <v>259</v>
      </c>
      <c r="K129">
        <f t="shared" si="7"/>
        <v>1</v>
      </c>
      <c r="L129">
        <f t="shared" si="8"/>
        <v>0</v>
      </c>
      <c r="M129">
        <f t="shared" si="9"/>
        <v>1</v>
      </c>
    </row>
    <row r="130" spans="1:13">
      <c r="A130">
        <v>815</v>
      </c>
      <c r="B130" s="13">
        <v>41670</v>
      </c>
      <c r="C130">
        <f t="shared" ref="C130:C193" si="10">YEAR(B130)</f>
        <v>2014</v>
      </c>
      <c r="D130">
        <f t="shared" ref="D130:D193" si="11">MONTH(B130)</f>
        <v>1</v>
      </c>
      <c r="E130" t="s">
        <v>38</v>
      </c>
      <c r="F130" t="s">
        <v>56</v>
      </c>
      <c r="G130" s="14">
        <v>50303</v>
      </c>
      <c r="H130" t="s">
        <v>60</v>
      </c>
      <c r="I130" t="s">
        <v>61</v>
      </c>
      <c r="J130" t="s">
        <v>260</v>
      </c>
      <c r="K130">
        <f t="shared" ref="K130:K193" si="12">IF(AND(OR(sel_ano="Todos",C130=sel_ano),OR(sel_pais="Todos",H130=sel_pais),OR(sel_marca="Todas",E130=sel_marca)),1,0)</f>
        <v>1</v>
      </c>
      <c r="L130">
        <f t="shared" ref="L130:L193" si="13">IF(sel_ano="Todos",0,IF(AND(C130=sel_ano-1,OR(sel_pais="Todos",H130=sel_pais),OR(sel_marca="Todas",E130=sel_marca)),1,0))</f>
        <v>0</v>
      </c>
      <c r="M130">
        <f t="shared" ref="M130:M193" si="14">IF(AND(OR(sel_pais="Todos",H130=sel_pais),OR(sel_marca="Todas",E130=sel_marca)),1,0)</f>
        <v>1</v>
      </c>
    </row>
    <row r="131" spans="1:13">
      <c r="A131">
        <v>44</v>
      </c>
      <c r="B131" s="13">
        <v>41671</v>
      </c>
      <c r="C131">
        <f t="shared" si="10"/>
        <v>2014</v>
      </c>
      <c r="D131">
        <f t="shared" si="11"/>
        <v>2</v>
      </c>
      <c r="E131" t="s">
        <v>76</v>
      </c>
      <c r="F131" t="s">
        <v>129</v>
      </c>
      <c r="G131" s="14">
        <v>64677</v>
      </c>
      <c r="H131" t="s">
        <v>53</v>
      </c>
      <c r="I131" t="s">
        <v>78</v>
      </c>
      <c r="J131" t="s">
        <v>261</v>
      </c>
      <c r="K131">
        <f t="shared" si="12"/>
        <v>1</v>
      </c>
      <c r="L131">
        <f t="shared" si="13"/>
        <v>0</v>
      </c>
      <c r="M131">
        <f t="shared" si="14"/>
        <v>1</v>
      </c>
    </row>
    <row r="132" spans="1:13">
      <c r="A132">
        <v>502</v>
      </c>
      <c r="B132" s="13">
        <v>41675</v>
      </c>
      <c r="C132">
        <f t="shared" si="10"/>
        <v>2014</v>
      </c>
      <c r="D132">
        <f t="shared" si="11"/>
        <v>2</v>
      </c>
      <c r="E132" t="s">
        <v>47</v>
      </c>
      <c r="F132" t="s">
        <v>52</v>
      </c>
      <c r="G132" s="14">
        <v>71921</v>
      </c>
      <c r="H132" t="s">
        <v>40</v>
      </c>
      <c r="I132" t="s">
        <v>144</v>
      </c>
      <c r="J132" t="s">
        <v>262</v>
      </c>
      <c r="K132">
        <f t="shared" si="12"/>
        <v>1</v>
      </c>
      <c r="L132">
        <f t="shared" si="13"/>
        <v>0</v>
      </c>
      <c r="M132">
        <f t="shared" si="14"/>
        <v>1</v>
      </c>
    </row>
    <row r="133" spans="1:13">
      <c r="A133">
        <v>200</v>
      </c>
      <c r="B133" s="13">
        <v>41678</v>
      </c>
      <c r="C133">
        <f t="shared" si="10"/>
        <v>2014</v>
      </c>
      <c r="D133">
        <f t="shared" si="11"/>
        <v>2</v>
      </c>
      <c r="E133" t="s">
        <v>47</v>
      </c>
      <c r="F133" t="s">
        <v>52</v>
      </c>
      <c r="G133" s="14">
        <v>50688</v>
      </c>
      <c r="H133" t="s">
        <v>49</v>
      </c>
      <c r="I133" t="s">
        <v>151</v>
      </c>
      <c r="J133" t="s">
        <v>263</v>
      </c>
      <c r="K133">
        <f t="shared" si="12"/>
        <v>1</v>
      </c>
      <c r="L133">
        <f t="shared" si="13"/>
        <v>0</v>
      </c>
      <c r="M133">
        <f t="shared" si="14"/>
        <v>1</v>
      </c>
    </row>
    <row r="134" spans="1:13">
      <c r="A134">
        <v>533</v>
      </c>
      <c r="B134" s="13">
        <v>41683</v>
      </c>
      <c r="C134">
        <f t="shared" si="10"/>
        <v>2014</v>
      </c>
      <c r="D134">
        <f t="shared" si="11"/>
        <v>2</v>
      </c>
      <c r="E134" t="s">
        <v>73</v>
      </c>
      <c r="F134" t="s">
        <v>102</v>
      </c>
      <c r="G134" s="14">
        <v>64262</v>
      </c>
      <c r="H134" t="s">
        <v>53</v>
      </c>
      <c r="I134" t="s">
        <v>120</v>
      </c>
      <c r="J134" t="s">
        <v>264</v>
      </c>
      <c r="K134">
        <f t="shared" si="12"/>
        <v>1</v>
      </c>
      <c r="L134">
        <f t="shared" si="13"/>
        <v>0</v>
      </c>
      <c r="M134">
        <f t="shared" si="14"/>
        <v>1</v>
      </c>
    </row>
    <row r="135" spans="1:13">
      <c r="A135">
        <v>578</v>
      </c>
      <c r="B135" s="13">
        <v>41686</v>
      </c>
      <c r="C135">
        <f t="shared" si="10"/>
        <v>2014</v>
      </c>
      <c r="D135">
        <f t="shared" si="11"/>
        <v>2</v>
      </c>
      <c r="E135" t="s">
        <v>38</v>
      </c>
      <c r="F135" t="s">
        <v>39</v>
      </c>
      <c r="G135" s="14">
        <v>69198</v>
      </c>
      <c r="H135" t="s">
        <v>81</v>
      </c>
      <c r="I135" t="s">
        <v>190</v>
      </c>
      <c r="J135" t="s">
        <v>265</v>
      </c>
      <c r="K135">
        <f t="shared" si="12"/>
        <v>1</v>
      </c>
      <c r="L135">
        <f t="shared" si="13"/>
        <v>0</v>
      </c>
      <c r="M135">
        <f t="shared" si="14"/>
        <v>1</v>
      </c>
    </row>
    <row r="136" spans="1:13">
      <c r="A136">
        <v>359</v>
      </c>
      <c r="B136" s="13">
        <v>41688</v>
      </c>
      <c r="C136">
        <f t="shared" si="10"/>
        <v>2014</v>
      </c>
      <c r="D136">
        <f t="shared" si="11"/>
        <v>2</v>
      </c>
      <c r="E136" t="s">
        <v>47</v>
      </c>
      <c r="F136" t="s">
        <v>52</v>
      </c>
      <c r="G136" s="14">
        <v>42320</v>
      </c>
      <c r="H136" t="s">
        <v>53</v>
      </c>
      <c r="I136" t="s">
        <v>78</v>
      </c>
      <c r="J136" t="s">
        <v>266</v>
      </c>
      <c r="K136">
        <f t="shared" si="12"/>
        <v>1</v>
      </c>
      <c r="L136">
        <f t="shared" si="13"/>
        <v>0</v>
      </c>
      <c r="M136">
        <f t="shared" si="14"/>
        <v>1</v>
      </c>
    </row>
    <row r="137" spans="1:13">
      <c r="A137">
        <v>716</v>
      </c>
      <c r="B137" s="13">
        <v>41688</v>
      </c>
      <c r="C137">
        <f t="shared" si="10"/>
        <v>2014</v>
      </c>
      <c r="D137">
        <f t="shared" si="11"/>
        <v>2</v>
      </c>
      <c r="E137" t="s">
        <v>73</v>
      </c>
      <c r="F137" t="s">
        <v>223</v>
      </c>
      <c r="G137" s="14">
        <v>75912</v>
      </c>
      <c r="H137" t="s">
        <v>57</v>
      </c>
      <c r="I137" t="s">
        <v>160</v>
      </c>
      <c r="J137" t="s">
        <v>267</v>
      </c>
      <c r="K137">
        <f t="shared" si="12"/>
        <v>1</v>
      </c>
      <c r="L137">
        <f t="shared" si="13"/>
        <v>0</v>
      </c>
      <c r="M137">
        <f t="shared" si="14"/>
        <v>1</v>
      </c>
    </row>
    <row r="138" spans="1:13">
      <c r="A138">
        <v>375</v>
      </c>
      <c r="B138" s="13">
        <v>41691</v>
      </c>
      <c r="C138">
        <f t="shared" si="10"/>
        <v>2014</v>
      </c>
      <c r="D138">
        <f t="shared" si="11"/>
        <v>2</v>
      </c>
      <c r="E138" t="s">
        <v>47</v>
      </c>
      <c r="F138" t="s">
        <v>136</v>
      </c>
      <c r="G138" s="14">
        <v>58254</v>
      </c>
      <c r="H138" t="s">
        <v>49</v>
      </c>
      <c r="I138" t="s">
        <v>96</v>
      </c>
      <c r="J138" t="s">
        <v>268</v>
      </c>
      <c r="K138">
        <f t="shared" si="12"/>
        <v>1</v>
      </c>
      <c r="L138">
        <f t="shared" si="13"/>
        <v>0</v>
      </c>
      <c r="M138">
        <f t="shared" si="14"/>
        <v>1</v>
      </c>
    </row>
    <row r="139" spans="1:13">
      <c r="A139">
        <v>319</v>
      </c>
      <c r="B139" s="13">
        <v>41694</v>
      </c>
      <c r="C139">
        <f t="shared" si="10"/>
        <v>2014</v>
      </c>
      <c r="D139">
        <f t="shared" si="11"/>
        <v>2</v>
      </c>
      <c r="E139" t="s">
        <v>73</v>
      </c>
      <c r="F139" t="s">
        <v>150</v>
      </c>
      <c r="G139" s="14">
        <v>62736</v>
      </c>
      <c r="H139" t="s">
        <v>53</v>
      </c>
      <c r="I139" t="s">
        <v>68</v>
      </c>
      <c r="J139" t="s">
        <v>269</v>
      </c>
      <c r="K139">
        <f t="shared" si="12"/>
        <v>1</v>
      </c>
      <c r="L139">
        <f t="shared" si="13"/>
        <v>0</v>
      </c>
      <c r="M139">
        <f t="shared" si="14"/>
        <v>1</v>
      </c>
    </row>
    <row r="140" spans="1:13">
      <c r="A140">
        <v>476</v>
      </c>
      <c r="B140" s="13">
        <v>41695</v>
      </c>
      <c r="C140">
        <f t="shared" si="10"/>
        <v>2014</v>
      </c>
      <c r="D140">
        <f t="shared" si="11"/>
        <v>2</v>
      </c>
      <c r="E140" t="s">
        <v>43</v>
      </c>
      <c r="F140" t="s">
        <v>197</v>
      </c>
      <c r="G140" s="14">
        <v>63184</v>
      </c>
      <c r="H140" t="s">
        <v>40</v>
      </c>
      <c r="I140" t="s">
        <v>270</v>
      </c>
      <c r="J140" t="s">
        <v>271</v>
      </c>
      <c r="K140">
        <f t="shared" si="12"/>
        <v>1</v>
      </c>
      <c r="L140">
        <f t="shared" si="13"/>
        <v>0</v>
      </c>
      <c r="M140">
        <f t="shared" si="14"/>
        <v>1</v>
      </c>
    </row>
    <row r="141" spans="1:13">
      <c r="A141">
        <v>204</v>
      </c>
      <c r="B141" s="13">
        <v>41696</v>
      </c>
      <c r="C141">
        <f t="shared" si="10"/>
        <v>2014</v>
      </c>
      <c r="D141">
        <f t="shared" si="11"/>
        <v>2</v>
      </c>
      <c r="E141" t="s">
        <v>47</v>
      </c>
      <c r="F141" t="s">
        <v>272</v>
      </c>
      <c r="G141" s="14">
        <v>62226</v>
      </c>
      <c r="H141" t="s">
        <v>53</v>
      </c>
      <c r="I141" t="s">
        <v>78</v>
      </c>
      <c r="J141" t="s">
        <v>273</v>
      </c>
      <c r="K141">
        <f t="shared" si="12"/>
        <v>1</v>
      </c>
      <c r="L141">
        <f t="shared" si="13"/>
        <v>0</v>
      </c>
      <c r="M141">
        <f t="shared" si="14"/>
        <v>1</v>
      </c>
    </row>
    <row r="142" spans="1:13">
      <c r="A142">
        <v>542</v>
      </c>
      <c r="B142" s="13">
        <v>41706</v>
      </c>
      <c r="C142">
        <f t="shared" si="10"/>
        <v>2014</v>
      </c>
      <c r="D142">
        <f t="shared" si="11"/>
        <v>3</v>
      </c>
      <c r="E142" t="s">
        <v>47</v>
      </c>
      <c r="F142" t="s">
        <v>52</v>
      </c>
      <c r="G142" s="14">
        <v>71066</v>
      </c>
      <c r="H142" t="s">
        <v>53</v>
      </c>
      <c r="I142" t="s">
        <v>120</v>
      </c>
      <c r="J142" t="s">
        <v>274</v>
      </c>
      <c r="K142">
        <f t="shared" si="12"/>
        <v>1</v>
      </c>
      <c r="L142">
        <f t="shared" si="13"/>
        <v>0</v>
      </c>
      <c r="M142">
        <f t="shared" si="14"/>
        <v>1</v>
      </c>
    </row>
    <row r="143" spans="1:13">
      <c r="A143">
        <v>315</v>
      </c>
      <c r="B143" s="13">
        <v>41711</v>
      </c>
      <c r="C143">
        <f t="shared" si="10"/>
        <v>2014</v>
      </c>
      <c r="D143">
        <f t="shared" si="11"/>
        <v>3</v>
      </c>
      <c r="E143" t="s">
        <v>43</v>
      </c>
      <c r="F143" t="s">
        <v>44</v>
      </c>
      <c r="G143" s="14">
        <v>70524</v>
      </c>
      <c r="H143" t="s">
        <v>40</v>
      </c>
      <c r="I143" t="s">
        <v>88</v>
      </c>
      <c r="J143" t="s">
        <v>275</v>
      </c>
      <c r="K143">
        <f t="shared" si="12"/>
        <v>1</v>
      </c>
      <c r="L143">
        <f t="shared" si="13"/>
        <v>0</v>
      </c>
      <c r="M143">
        <f t="shared" si="14"/>
        <v>1</v>
      </c>
    </row>
    <row r="144" spans="1:13">
      <c r="A144">
        <v>64</v>
      </c>
      <c r="B144" s="13">
        <v>41712</v>
      </c>
      <c r="C144">
        <f t="shared" si="10"/>
        <v>2014</v>
      </c>
      <c r="D144">
        <f t="shared" si="11"/>
        <v>3</v>
      </c>
      <c r="E144" t="s">
        <v>38</v>
      </c>
      <c r="F144" t="s">
        <v>227</v>
      </c>
      <c r="G144" s="14">
        <v>51517</v>
      </c>
      <c r="H144" t="s">
        <v>57</v>
      </c>
      <c r="I144" t="s">
        <v>231</v>
      </c>
      <c r="J144" t="s">
        <v>276</v>
      </c>
      <c r="K144">
        <f t="shared" si="12"/>
        <v>1</v>
      </c>
      <c r="L144">
        <f t="shared" si="13"/>
        <v>0</v>
      </c>
      <c r="M144">
        <f t="shared" si="14"/>
        <v>1</v>
      </c>
    </row>
    <row r="145" spans="1:13">
      <c r="A145">
        <v>561</v>
      </c>
      <c r="B145" s="13">
        <v>41716</v>
      </c>
      <c r="C145">
        <f t="shared" si="10"/>
        <v>2014</v>
      </c>
      <c r="D145">
        <f t="shared" si="11"/>
        <v>3</v>
      </c>
      <c r="E145" t="s">
        <v>43</v>
      </c>
      <c r="F145" t="s">
        <v>70</v>
      </c>
      <c r="G145" s="14">
        <v>53940</v>
      </c>
      <c r="H145" t="s">
        <v>40</v>
      </c>
      <c r="I145" t="s">
        <v>144</v>
      </c>
      <c r="J145" t="s">
        <v>277</v>
      </c>
      <c r="K145">
        <f t="shared" si="12"/>
        <v>1</v>
      </c>
      <c r="L145">
        <f t="shared" si="13"/>
        <v>0</v>
      </c>
      <c r="M145">
        <f t="shared" si="14"/>
        <v>1</v>
      </c>
    </row>
    <row r="146" spans="1:13">
      <c r="A146">
        <v>243</v>
      </c>
      <c r="B146" s="13">
        <v>41717</v>
      </c>
      <c r="C146">
        <f t="shared" si="10"/>
        <v>2014</v>
      </c>
      <c r="D146">
        <f t="shared" si="11"/>
        <v>3</v>
      </c>
      <c r="E146" t="s">
        <v>47</v>
      </c>
      <c r="F146" t="s">
        <v>132</v>
      </c>
      <c r="G146" s="14">
        <v>65649</v>
      </c>
      <c r="H146" t="s">
        <v>60</v>
      </c>
      <c r="I146" t="s">
        <v>71</v>
      </c>
      <c r="J146" t="s">
        <v>278</v>
      </c>
      <c r="K146">
        <f t="shared" si="12"/>
        <v>1</v>
      </c>
      <c r="L146">
        <f t="shared" si="13"/>
        <v>0</v>
      </c>
      <c r="M146">
        <f t="shared" si="14"/>
        <v>1</v>
      </c>
    </row>
    <row r="147" spans="1:13">
      <c r="A147">
        <v>876</v>
      </c>
      <c r="B147" s="13">
        <v>41717</v>
      </c>
      <c r="C147">
        <f t="shared" si="10"/>
        <v>2014</v>
      </c>
      <c r="D147">
        <f t="shared" si="11"/>
        <v>3</v>
      </c>
      <c r="E147" t="s">
        <v>73</v>
      </c>
      <c r="F147" t="s">
        <v>223</v>
      </c>
      <c r="G147" s="14">
        <v>56931</v>
      </c>
      <c r="H147" t="s">
        <v>49</v>
      </c>
      <c r="I147" t="s">
        <v>50</v>
      </c>
      <c r="J147" t="s">
        <v>279</v>
      </c>
      <c r="K147">
        <f t="shared" si="12"/>
        <v>1</v>
      </c>
      <c r="L147">
        <f t="shared" si="13"/>
        <v>0</v>
      </c>
      <c r="M147">
        <f t="shared" si="14"/>
        <v>1</v>
      </c>
    </row>
    <row r="148" spans="1:13">
      <c r="A148">
        <v>515</v>
      </c>
      <c r="B148" s="13">
        <v>41721</v>
      </c>
      <c r="C148">
        <f t="shared" si="10"/>
        <v>2014</v>
      </c>
      <c r="D148">
        <f t="shared" si="11"/>
        <v>3</v>
      </c>
      <c r="E148" t="s">
        <v>38</v>
      </c>
      <c r="F148" t="s">
        <v>56</v>
      </c>
      <c r="G148" s="14">
        <v>56931</v>
      </c>
      <c r="H148" t="s">
        <v>57</v>
      </c>
      <c r="I148" t="s">
        <v>160</v>
      </c>
      <c r="J148" t="s">
        <v>280</v>
      </c>
      <c r="K148">
        <f t="shared" si="12"/>
        <v>1</v>
      </c>
      <c r="L148">
        <f t="shared" si="13"/>
        <v>0</v>
      </c>
      <c r="M148">
        <f t="shared" si="14"/>
        <v>1</v>
      </c>
    </row>
    <row r="149" spans="1:13">
      <c r="A149">
        <v>284</v>
      </c>
      <c r="B149" s="13">
        <v>41727</v>
      </c>
      <c r="C149">
        <f t="shared" si="10"/>
        <v>2014</v>
      </c>
      <c r="D149">
        <f t="shared" si="11"/>
        <v>3</v>
      </c>
      <c r="E149" t="s">
        <v>43</v>
      </c>
      <c r="F149" t="s">
        <v>251</v>
      </c>
      <c r="G149" s="14">
        <v>59238</v>
      </c>
      <c r="H149" t="s">
        <v>60</v>
      </c>
      <c r="I149" t="s">
        <v>188</v>
      </c>
      <c r="J149" t="s">
        <v>281</v>
      </c>
      <c r="K149">
        <f t="shared" si="12"/>
        <v>1</v>
      </c>
      <c r="L149">
        <f t="shared" si="13"/>
        <v>0</v>
      </c>
      <c r="M149">
        <f t="shared" si="14"/>
        <v>1</v>
      </c>
    </row>
    <row r="150" spans="1:13">
      <c r="A150">
        <v>349</v>
      </c>
      <c r="B150" s="13">
        <v>41731</v>
      </c>
      <c r="C150">
        <f t="shared" si="10"/>
        <v>2014</v>
      </c>
      <c r="D150">
        <f t="shared" si="11"/>
        <v>4</v>
      </c>
      <c r="E150" t="s">
        <v>47</v>
      </c>
      <c r="F150" t="s">
        <v>272</v>
      </c>
      <c r="G150" s="14">
        <v>66232</v>
      </c>
      <c r="H150" t="s">
        <v>81</v>
      </c>
      <c r="I150" t="s">
        <v>190</v>
      </c>
      <c r="J150" t="s">
        <v>282</v>
      </c>
      <c r="K150">
        <f t="shared" si="12"/>
        <v>1</v>
      </c>
      <c r="L150">
        <f t="shared" si="13"/>
        <v>0</v>
      </c>
      <c r="M150">
        <f t="shared" si="14"/>
        <v>1</v>
      </c>
    </row>
    <row r="151" spans="1:13">
      <c r="A151">
        <v>236</v>
      </c>
      <c r="B151" s="13">
        <v>41733</v>
      </c>
      <c r="C151">
        <f t="shared" si="10"/>
        <v>2014</v>
      </c>
      <c r="D151">
        <f t="shared" si="11"/>
        <v>4</v>
      </c>
      <c r="E151" t="s">
        <v>38</v>
      </c>
      <c r="F151" t="s">
        <v>39</v>
      </c>
      <c r="G151" s="14">
        <v>64218</v>
      </c>
      <c r="H151" t="s">
        <v>53</v>
      </c>
      <c r="I151" t="s">
        <v>120</v>
      </c>
      <c r="J151" t="s">
        <v>283</v>
      </c>
      <c r="K151">
        <f t="shared" si="12"/>
        <v>1</v>
      </c>
      <c r="L151">
        <f t="shared" si="13"/>
        <v>0</v>
      </c>
      <c r="M151">
        <f t="shared" si="14"/>
        <v>1</v>
      </c>
    </row>
    <row r="152" spans="1:13">
      <c r="A152">
        <v>498</v>
      </c>
      <c r="B152" s="13">
        <v>41734</v>
      </c>
      <c r="C152">
        <f t="shared" si="10"/>
        <v>2014</v>
      </c>
      <c r="D152">
        <f t="shared" si="11"/>
        <v>4</v>
      </c>
      <c r="E152" t="s">
        <v>63</v>
      </c>
      <c r="F152" t="s">
        <v>64</v>
      </c>
      <c r="G152" s="14">
        <v>75365</v>
      </c>
      <c r="H152" t="s">
        <v>40</v>
      </c>
      <c r="I152" t="s">
        <v>180</v>
      </c>
      <c r="J152" t="s">
        <v>284</v>
      </c>
      <c r="K152">
        <f t="shared" si="12"/>
        <v>1</v>
      </c>
      <c r="L152">
        <f t="shared" si="13"/>
        <v>0</v>
      </c>
      <c r="M152">
        <f t="shared" si="14"/>
        <v>1</v>
      </c>
    </row>
    <row r="153" spans="1:13">
      <c r="A153">
        <v>762</v>
      </c>
      <c r="B153" s="13">
        <v>41734</v>
      </c>
      <c r="C153">
        <f t="shared" si="10"/>
        <v>2014</v>
      </c>
      <c r="D153">
        <f t="shared" si="11"/>
        <v>4</v>
      </c>
      <c r="E153" t="s">
        <v>76</v>
      </c>
      <c r="F153" t="s">
        <v>216</v>
      </c>
      <c r="G153" s="14">
        <v>67292</v>
      </c>
      <c r="H153" t="s">
        <v>40</v>
      </c>
      <c r="I153" t="s">
        <v>41</v>
      </c>
      <c r="J153" t="s">
        <v>285</v>
      </c>
      <c r="K153">
        <f t="shared" si="12"/>
        <v>1</v>
      </c>
      <c r="L153">
        <f t="shared" si="13"/>
        <v>0</v>
      </c>
      <c r="M153">
        <f t="shared" si="14"/>
        <v>1</v>
      </c>
    </row>
    <row r="154" spans="1:13">
      <c r="A154">
        <v>184</v>
      </c>
      <c r="B154" s="13">
        <v>41735</v>
      </c>
      <c r="C154">
        <f t="shared" si="10"/>
        <v>2014</v>
      </c>
      <c r="D154">
        <f t="shared" si="11"/>
        <v>4</v>
      </c>
      <c r="E154" t="s">
        <v>73</v>
      </c>
      <c r="F154" t="s">
        <v>223</v>
      </c>
      <c r="G154" s="14">
        <v>75671</v>
      </c>
      <c r="H154" t="s">
        <v>53</v>
      </c>
      <c r="I154" t="s">
        <v>120</v>
      </c>
      <c r="J154" t="s">
        <v>286</v>
      </c>
      <c r="K154">
        <f t="shared" si="12"/>
        <v>1</v>
      </c>
      <c r="L154">
        <f t="shared" si="13"/>
        <v>0</v>
      </c>
      <c r="M154">
        <f t="shared" si="14"/>
        <v>1</v>
      </c>
    </row>
    <row r="155" spans="1:13">
      <c r="A155">
        <v>769</v>
      </c>
      <c r="B155" s="13">
        <v>41738</v>
      </c>
      <c r="C155">
        <f t="shared" si="10"/>
        <v>2014</v>
      </c>
      <c r="D155">
        <f t="shared" si="11"/>
        <v>4</v>
      </c>
      <c r="E155" t="s">
        <v>73</v>
      </c>
      <c r="F155" t="s">
        <v>119</v>
      </c>
      <c r="G155" s="14">
        <v>72145</v>
      </c>
      <c r="H155" t="s">
        <v>49</v>
      </c>
      <c r="I155" t="s">
        <v>122</v>
      </c>
      <c r="J155" t="s">
        <v>287</v>
      </c>
      <c r="K155">
        <f t="shared" si="12"/>
        <v>1</v>
      </c>
      <c r="L155">
        <f t="shared" si="13"/>
        <v>0</v>
      </c>
      <c r="M155">
        <f t="shared" si="14"/>
        <v>1</v>
      </c>
    </row>
    <row r="156" spans="1:13">
      <c r="A156">
        <v>260</v>
      </c>
      <c r="B156" s="13">
        <v>41744</v>
      </c>
      <c r="C156">
        <f t="shared" si="10"/>
        <v>2014</v>
      </c>
      <c r="D156">
        <f t="shared" si="11"/>
        <v>4</v>
      </c>
      <c r="E156" t="s">
        <v>43</v>
      </c>
      <c r="F156" t="s">
        <v>67</v>
      </c>
      <c r="G156" s="14">
        <v>48355</v>
      </c>
      <c r="H156" t="s">
        <v>40</v>
      </c>
      <c r="I156" t="s">
        <v>98</v>
      </c>
      <c r="J156" t="s">
        <v>288</v>
      </c>
      <c r="K156">
        <f t="shared" si="12"/>
        <v>1</v>
      </c>
      <c r="L156">
        <f t="shared" si="13"/>
        <v>0</v>
      </c>
      <c r="M156">
        <f t="shared" si="14"/>
        <v>1</v>
      </c>
    </row>
    <row r="157" spans="1:13">
      <c r="A157">
        <v>197</v>
      </c>
      <c r="B157" s="13">
        <v>41745</v>
      </c>
      <c r="C157">
        <f t="shared" si="10"/>
        <v>2014</v>
      </c>
      <c r="D157">
        <f t="shared" si="11"/>
        <v>4</v>
      </c>
      <c r="E157" t="s">
        <v>76</v>
      </c>
      <c r="F157" t="s">
        <v>110</v>
      </c>
      <c r="G157" s="14">
        <v>63391</v>
      </c>
      <c r="H157" t="s">
        <v>60</v>
      </c>
      <c r="I157" t="s">
        <v>71</v>
      </c>
      <c r="J157" t="s">
        <v>289</v>
      </c>
      <c r="K157">
        <f t="shared" si="12"/>
        <v>1</v>
      </c>
      <c r="L157">
        <f t="shared" si="13"/>
        <v>0</v>
      </c>
      <c r="M157">
        <f t="shared" si="14"/>
        <v>1</v>
      </c>
    </row>
    <row r="158" spans="1:13">
      <c r="A158">
        <v>53</v>
      </c>
      <c r="B158" s="13">
        <v>41749</v>
      </c>
      <c r="C158">
        <f t="shared" si="10"/>
        <v>2014</v>
      </c>
      <c r="D158">
        <f t="shared" si="11"/>
        <v>4</v>
      </c>
      <c r="E158" t="s">
        <v>63</v>
      </c>
      <c r="F158" t="s">
        <v>64</v>
      </c>
      <c r="G158" s="14">
        <v>76607</v>
      </c>
      <c r="H158" t="s">
        <v>49</v>
      </c>
      <c r="I158" t="s">
        <v>122</v>
      </c>
      <c r="J158" t="s">
        <v>290</v>
      </c>
      <c r="K158">
        <f t="shared" si="12"/>
        <v>1</v>
      </c>
      <c r="L158">
        <f t="shared" si="13"/>
        <v>0</v>
      </c>
      <c r="M158">
        <f t="shared" si="14"/>
        <v>1</v>
      </c>
    </row>
    <row r="159" spans="1:13">
      <c r="A159">
        <v>557</v>
      </c>
      <c r="B159" s="13">
        <v>41750</v>
      </c>
      <c r="C159">
        <f t="shared" si="10"/>
        <v>2014</v>
      </c>
      <c r="D159">
        <f t="shared" si="11"/>
        <v>4</v>
      </c>
      <c r="E159" t="s">
        <v>63</v>
      </c>
      <c r="F159" t="s">
        <v>105</v>
      </c>
      <c r="G159" s="14">
        <v>67451</v>
      </c>
      <c r="H159" t="s">
        <v>40</v>
      </c>
      <c r="I159" t="s">
        <v>291</v>
      </c>
      <c r="J159" t="s">
        <v>292</v>
      </c>
      <c r="K159">
        <f t="shared" si="12"/>
        <v>1</v>
      </c>
      <c r="L159">
        <f t="shared" si="13"/>
        <v>0</v>
      </c>
      <c r="M159">
        <f t="shared" si="14"/>
        <v>1</v>
      </c>
    </row>
    <row r="160" spans="1:13">
      <c r="A160">
        <v>262</v>
      </c>
      <c r="B160" s="13">
        <v>41752</v>
      </c>
      <c r="C160">
        <f t="shared" si="10"/>
        <v>2014</v>
      </c>
      <c r="D160">
        <f t="shared" si="11"/>
        <v>4</v>
      </c>
      <c r="E160" t="s">
        <v>38</v>
      </c>
      <c r="F160" t="s">
        <v>227</v>
      </c>
      <c r="G160" s="14">
        <v>75778</v>
      </c>
      <c r="H160" t="s">
        <v>57</v>
      </c>
      <c r="I160" t="s">
        <v>231</v>
      </c>
      <c r="J160" t="s">
        <v>293</v>
      </c>
      <c r="K160">
        <f t="shared" si="12"/>
        <v>1</v>
      </c>
      <c r="L160">
        <f t="shared" si="13"/>
        <v>0</v>
      </c>
      <c r="M160">
        <f t="shared" si="14"/>
        <v>1</v>
      </c>
    </row>
    <row r="161" spans="1:13">
      <c r="A161">
        <v>337</v>
      </c>
      <c r="B161" s="13">
        <v>41759</v>
      </c>
      <c r="C161">
        <f t="shared" si="10"/>
        <v>2014</v>
      </c>
      <c r="D161">
        <f t="shared" si="11"/>
        <v>4</v>
      </c>
      <c r="E161" t="s">
        <v>76</v>
      </c>
      <c r="F161" t="s">
        <v>294</v>
      </c>
      <c r="G161" s="14">
        <v>72001</v>
      </c>
      <c r="H161" t="s">
        <v>40</v>
      </c>
      <c r="I161" t="s">
        <v>158</v>
      </c>
      <c r="J161" t="s">
        <v>295</v>
      </c>
      <c r="K161">
        <f t="shared" si="12"/>
        <v>1</v>
      </c>
      <c r="L161">
        <f t="shared" si="13"/>
        <v>0</v>
      </c>
      <c r="M161">
        <f t="shared" si="14"/>
        <v>1</v>
      </c>
    </row>
    <row r="162" spans="1:13">
      <c r="A162">
        <v>379</v>
      </c>
      <c r="B162" s="13">
        <v>41760</v>
      </c>
      <c r="C162">
        <f t="shared" si="10"/>
        <v>2014</v>
      </c>
      <c r="D162">
        <f t="shared" si="11"/>
        <v>5</v>
      </c>
      <c r="E162" t="s">
        <v>76</v>
      </c>
      <c r="F162" t="s">
        <v>91</v>
      </c>
      <c r="G162" s="14">
        <v>66475</v>
      </c>
      <c r="H162" t="s">
        <v>40</v>
      </c>
      <c r="I162" t="s">
        <v>158</v>
      </c>
      <c r="J162" t="s">
        <v>296</v>
      </c>
      <c r="K162">
        <f t="shared" si="12"/>
        <v>1</v>
      </c>
      <c r="L162">
        <f t="shared" si="13"/>
        <v>0</v>
      </c>
      <c r="M162">
        <f t="shared" si="14"/>
        <v>1</v>
      </c>
    </row>
    <row r="163" spans="1:13">
      <c r="A163">
        <v>530</v>
      </c>
      <c r="B163" s="13">
        <v>41761</v>
      </c>
      <c r="C163">
        <f t="shared" si="10"/>
        <v>2014</v>
      </c>
      <c r="D163">
        <f t="shared" si="11"/>
        <v>5</v>
      </c>
      <c r="E163" t="s">
        <v>38</v>
      </c>
      <c r="F163" t="s">
        <v>56</v>
      </c>
      <c r="G163" s="14">
        <v>58835</v>
      </c>
      <c r="H163" t="s">
        <v>40</v>
      </c>
      <c r="I163" t="s">
        <v>100</v>
      </c>
      <c r="J163" t="s">
        <v>297</v>
      </c>
      <c r="K163">
        <f t="shared" si="12"/>
        <v>1</v>
      </c>
      <c r="L163">
        <f t="shared" si="13"/>
        <v>0</v>
      </c>
      <c r="M163">
        <f t="shared" si="14"/>
        <v>1</v>
      </c>
    </row>
    <row r="164" spans="1:13">
      <c r="A164">
        <v>109</v>
      </c>
      <c r="B164" s="13">
        <v>41773</v>
      </c>
      <c r="C164">
        <f t="shared" si="10"/>
        <v>2014</v>
      </c>
      <c r="D164">
        <f t="shared" si="11"/>
        <v>5</v>
      </c>
      <c r="E164" t="s">
        <v>73</v>
      </c>
      <c r="F164" t="s">
        <v>102</v>
      </c>
      <c r="G164" s="14">
        <v>70087</v>
      </c>
      <c r="H164" t="s">
        <v>60</v>
      </c>
      <c r="I164" t="s">
        <v>188</v>
      </c>
      <c r="J164" t="s">
        <v>298</v>
      </c>
      <c r="K164">
        <f t="shared" si="12"/>
        <v>1</v>
      </c>
      <c r="L164">
        <f t="shared" si="13"/>
        <v>0</v>
      </c>
      <c r="M164">
        <f t="shared" si="14"/>
        <v>1</v>
      </c>
    </row>
    <row r="165" spans="1:13">
      <c r="A165">
        <v>296</v>
      </c>
      <c r="B165" s="13">
        <v>41773</v>
      </c>
      <c r="C165">
        <f t="shared" si="10"/>
        <v>2014</v>
      </c>
      <c r="D165">
        <f t="shared" si="11"/>
        <v>5</v>
      </c>
      <c r="E165" t="s">
        <v>76</v>
      </c>
      <c r="F165" t="s">
        <v>207</v>
      </c>
      <c r="G165" s="14">
        <v>48450</v>
      </c>
      <c r="H165" t="s">
        <v>40</v>
      </c>
      <c r="I165" t="s">
        <v>45</v>
      </c>
      <c r="J165" t="s">
        <v>299</v>
      </c>
      <c r="K165">
        <f t="shared" si="12"/>
        <v>1</v>
      </c>
      <c r="L165">
        <f t="shared" si="13"/>
        <v>0</v>
      </c>
      <c r="M165">
        <f t="shared" si="14"/>
        <v>1</v>
      </c>
    </row>
    <row r="166" spans="1:13">
      <c r="A166">
        <v>474</v>
      </c>
      <c r="B166" s="13">
        <v>41775</v>
      </c>
      <c r="C166">
        <f t="shared" si="10"/>
        <v>2014</v>
      </c>
      <c r="D166">
        <f t="shared" si="11"/>
        <v>5</v>
      </c>
      <c r="E166" t="s">
        <v>76</v>
      </c>
      <c r="F166" t="s">
        <v>110</v>
      </c>
      <c r="G166" s="14">
        <v>60401</v>
      </c>
      <c r="H166" t="s">
        <v>60</v>
      </c>
      <c r="I166" t="s">
        <v>199</v>
      </c>
      <c r="J166" t="s">
        <v>300</v>
      </c>
      <c r="K166">
        <f t="shared" si="12"/>
        <v>1</v>
      </c>
      <c r="L166">
        <f t="shared" si="13"/>
        <v>0</v>
      </c>
      <c r="M166">
        <f t="shared" si="14"/>
        <v>1</v>
      </c>
    </row>
    <row r="167" spans="1:13">
      <c r="A167">
        <v>484</v>
      </c>
      <c r="B167" s="13">
        <v>41780</v>
      </c>
      <c r="C167">
        <f t="shared" si="10"/>
        <v>2014</v>
      </c>
      <c r="D167">
        <f t="shared" si="11"/>
        <v>5</v>
      </c>
      <c r="E167" t="s">
        <v>76</v>
      </c>
      <c r="F167" t="s">
        <v>294</v>
      </c>
      <c r="G167" s="14">
        <v>71875</v>
      </c>
      <c r="H167" t="s">
        <v>40</v>
      </c>
      <c r="I167" t="s">
        <v>158</v>
      </c>
      <c r="J167" t="s">
        <v>301</v>
      </c>
      <c r="K167">
        <f t="shared" si="12"/>
        <v>1</v>
      </c>
      <c r="L167">
        <f t="shared" si="13"/>
        <v>0</v>
      </c>
      <c r="M167">
        <f t="shared" si="14"/>
        <v>1</v>
      </c>
    </row>
    <row r="168" spans="1:13">
      <c r="A168">
        <v>224</v>
      </c>
      <c r="B168" s="13">
        <v>41784</v>
      </c>
      <c r="C168">
        <f t="shared" si="10"/>
        <v>2014</v>
      </c>
      <c r="D168">
        <f t="shared" si="11"/>
        <v>5</v>
      </c>
      <c r="E168" t="s">
        <v>38</v>
      </c>
      <c r="F168" t="s">
        <v>126</v>
      </c>
      <c r="G168" s="14">
        <v>51034</v>
      </c>
      <c r="H168" t="s">
        <v>40</v>
      </c>
      <c r="I168" t="s">
        <v>45</v>
      </c>
      <c r="J168" t="s">
        <v>302</v>
      </c>
      <c r="K168">
        <f t="shared" si="12"/>
        <v>1</v>
      </c>
      <c r="L168">
        <f t="shared" si="13"/>
        <v>0</v>
      </c>
      <c r="M168">
        <f t="shared" si="14"/>
        <v>1</v>
      </c>
    </row>
    <row r="169" spans="1:13">
      <c r="A169">
        <v>343</v>
      </c>
      <c r="B169" s="13">
        <v>41784</v>
      </c>
      <c r="C169">
        <f t="shared" si="10"/>
        <v>2014</v>
      </c>
      <c r="D169">
        <f t="shared" si="11"/>
        <v>5</v>
      </c>
      <c r="E169" t="s">
        <v>38</v>
      </c>
      <c r="F169" t="s">
        <v>227</v>
      </c>
      <c r="G169" s="14">
        <v>43968</v>
      </c>
      <c r="H169" t="s">
        <v>81</v>
      </c>
      <c r="I169" t="s">
        <v>153</v>
      </c>
      <c r="J169" t="s">
        <v>303</v>
      </c>
      <c r="K169">
        <f t="shared" si="12"/>
        <v>1</v>
      </c>
      <c r="L169">
        <f t="shared" si="13"/>
        <v>0</v>
      </c>
      <c r="M169">
        <f t="shared" si="14"/>
        <v>1</v>
      </c>
    </row>
    <row r="170" spans="1:13">
      <c r="A170">
        <v>849</v>
      </c>
      <c r="B170" s="13">
        <v>41784</v>
      </c>
      <c r="C170">
        <f t="shared" si="10"/>
        <v>2014</v>
      </c>
      <c r="D170">
        <f t="shared" si="11"/>
        <v>5</v>
      </c>
      <c r="E170" t="s">
        <v>38</v>
      </c>
      <c r="F170" t="s">
        <v>227</v>
      </c>
      <c r="G170" s="14">
        <v>72465</v>
      </c>
      <c r="H170" t="s">
        <v>57</v>
      </c>
      <c r="I170" t="s">
        <v>106</v>
      </c>
      <c r="J170" t="s">
        <v>304</v>
      </c>
      <c r="K170">
        <f t="shared" si="12"/>
        <v>1</v>
      </c>
      <c r="L170">
        <f t="shared" si="13"/>
        <v>0</v>
      </c>
      <c r="M170">
        <f t="shared" si="14"/>
        <v>1</v>
      </c>
    </row>
    <row r="171" spans="1:13">
      <c r="A171">
        <v>455</v>
      </c>
      <c r="B171" s="13">
        <v>41793</v>
      </c>
      <c r="C171">
        <f t="shared" si="10"/>
        <v>2014</v>
      </c>
      <c r="D171">
        <f t="shared" si="11"/>
        <v>6</v>
      </c>
      <c r="E171" t="s">
        <v>38</v>
      </c>
      <c r="F171" t="s">
        <v>56</v>
      </c>
      <c r="G171" s="14">
        <v>61817</v>
      </c>
      <c r="H171" t="s">
        <v>81</v>
      </c>
      <c r="I171" t="s">
        <v>108</v>
      </c>
      <c r="J171" t="s">
        <v>305</v>
      </c>
      <c r="K171">
        <f t="shared" si="12"/>
        <v>1</v>
      </c>
      <c r="L171">
        <f t="shared" si="13"/>
        <v>0</v>
      </c>
      <c r="M171">
        <f t="shared" si="14"/>
        <v>1</v>
      </c>
    </row>
    <row r="172" spans="1:13">
      <c r="A172">
        <v>508</v>
      </c>
      <c r="B172" s="13">
        <v>41794</v>
      </c>
      <c r="C172">
        <f t="shared" si="10"/>
        <v>2014</v>
      </c>
      <c r="D172">
        <f t="shared" si="11"/>
        <v>6</v>
      </c>
      <c r="E172" t="s">
        <v>73</v>
      </c>
      <c r="F172" t="s">
        <v>140</v>
      </c>
      <c r="G172" s="14">
        <v>66735</v>
      </c>
      <c r="H172" t="s">
        <v>49</v>
      </c>
      <c r="I172" t="s">
        <v>50</v>
      </c>
      <c r="J172" t="s">
        <v>306</v>
      </c>
      <c r="K172">
        <f t="shared" si="12"/>
        <v>1</v>
      </c>
      <c r="L172">
        <f t="shared" si="13"/>
        <v>0</v>
      </c>
      <c r="M172">
        <f t="shared" si="14"/>
        <v>1</v>
      </c>
    </row>
    <row r="173" spans="1:13">
      <c r="A173">
        <v>943</v>
      </c>
      <c r="B173" s="13">
        <v>41794</v>
      </c>
      <c r="C173">
        <f t="shared" si="10"/>
        <v>2014</v>
      </c>
      <c r="D173">
        <f t="shared" si="11"/>
        <v>6</v>
      </c>
      <c r="E173" t="s">
        <v>47</v>
      </c>
      <c r="F173" t="s">
        <v>52</v>
      </c>
      <c r="G173" s="14">
        <v>52707</v>
      </c>
      <c r="H173" t="s">
        <v>53</v>
      </c>
      <c r="I173" t="s">
        <v>120</v>
      </c>
      <c r="J173" t="s">
        <v>307</v>
      </c>
      <c r="K173">
        <f t="shared" si="12"/>
        <v>1</v>
      </c>
      <c r="L173">
        <f t="shared" si="13"/>
        <v>0</v>
      </c>
      <c r="M173">
        <f t="shared" si="14"/>
        <v>1</v>
      </c>
    </row>
    <row r="174" spans="1:13">
      <c r="A174">
        <v>244</v>
      </c>
      <c r="B174" s="13">
        <v>41801</v>
      </c>
      <c r="C174">
        <f t="shared" si="10"/>
        <v>2014</v>
      </c>
      <c r="D174">
        <f t="shared" si="11"/>
        <v>6</v>
      </c>
      <c r="E174" t="s">
        <v>76</v>
      </c>
      <c r="F174" t="s">
        <v>216</v>
      </c>
      <c r="G174" s="14">
        <v>60699</v>
      </c>
      <c r="H174" t="s">
        <v>49</v>
      </c>
      <c r="I174" t="s">
        <v>96</v>
      </c>
      <c r="J174" t="s">
        <v>308</v>
      </c>
      <c r="K174">
        <f t="shared" si="12"/>
        <v>1</v>
      </c>
      <c r="L174">
        <f t="shared" si="13"/>
        <v>0</v>
      </c>
      <c r="M174">
        <f t="shared" si="14"/>
        <v>1</v>
      </c>
    </row>
    <row r="175" spans="1:13">
      <c r="A175">
        <v>457</v>
      </c>
      <c r="B175" s="13">
        <v>41809</v>
      </c>
      <c r="C175">
        <f t="shared" si="10"/>
        <v>2014</v>
      </c>
      <c r="D175">
        <f t="shared" si="11"/>
        <v>6</v>
      </c>
      <c r="E175" t="s">
        <v>47</v>
      </c>
      <c r="F175" t="s">
        <v>48</v>
      </c>
      <c r="G175" s="14">
        <v>48630</v>
      </c>
      <c r="H175" t="s">
        <v>57</v>
      </c>
      <c r="I175" t="s">
        <v>231</v>
      </c>
      <c r="J175" t="s">
        <v>309</v>
      </c>
      <c r="K175">
        <f t="shared" si="12"/>
        <v>1</v>
      </c>
      <c r="L175">
        <f t="shared" si="13"/>
        <v>0</v>
      </c>
      <c r="M175">
        <f t="shared" si="14"/>
        <v>1</v>
      </c>
    </row>
    <row r="176" spans="1:13">
      <c r="A176">
        <v>405</v>
      </c>
      <c r="B176" s="13">
        <v>41816</v>
      </c>
      <c r="C176">
        <f t="shared" si="10"/>
        <v>2014</v>
      </c>
      <c r="D176">
        <f t="shared" si="11"/>
        <v>6</v>
      </c>
      <c r="E176" t="s">
        <v>47</v>
      </c>
      <c r="F176" t="s">
        <v>48</v>
      </c>
      <c r="G176" s="14">
        <v>68962</v>
      </c>
      <c r="H176" t="s">
        <v>49</v>
      </c>
      <c r="I176" t="s">
        <v>151</v>
      </c>
      <c r="J176" t="s">
        <v>310</v>
      </c>
      <c r="K176">
        <f t="shared" si="12"/>
        <v>1</v>
      </c>
      <c r="L176">
        <f t="shared" si="13"/>
        <v>0</v>
      </c>
      <c r="M176">
        <f t="shared" si="14"/>
        <v>1</v>
      </c>
    </row>
    <row r="177" spans="1:13">
      <c r="A177">
        <v>807</v>
      </c>
      <c r="B177" s="13">
        <v>41819</v>
      </c>
      <c r="C177">
        <f t="shared" si="10"/>
        <v>2014</v>
      </c>
      <c r="D177">
        <f t="shared" si="11"/>
        <v>6</v>
      </c>
      <c r="E177" t="s">
        <v>94</v>
      </c>
      <c r="F177" t="s">
        <v>148</v>
      </c>
      <c r="G177" s="14">
        <v>48084</v>
      </c>
      <c r="H177" t="s">
        <v>53</v>
      </c>
      <c r="I177" t="s">
        <v>54</v>
      </c>
      <c r="J177" t="s">
        <v>311</v>
      </c>
      <c r="K177">
        <f t="shared" si="12"/>
        <v>1</v>
      </c>
      <c r="L177">
        <f t="shared" si="13"/>
        <v>0</v>
      </c>
      <c r="M177">
        <f t="shared" si="14"/>
        <v>1</v>
      </c>
    </row>
    <row r="178" spans="1:13">
      <c r="A178">
        <v>58</v>
      </c>
      <c r="B178" s="13">
        <v>41820</v>
      </c>
      <c r="C178">
        <f t="shared" si="10"/>
        <v>2014</v>
      </c>
      <c r="D178">
        <f t="shared" si="11"/>
        <v>6</v>
      </c>
      <c r="E178" t="s">
        <v>38</v>
      </c>
      <c r="F178" t="s">
        <v>227</v>
      </c>
      <c r="G178" s="14">
        <v>51969</v>
      </c>
      <c r="H178" t="s">
        <v>57</v>
      </c>
      <c r="I178" t="s">
        <v>231</v>
      </c>
      <c r="J178" t="s">
        <v>312</v>
      </c>
      <c r="K178">
        <f t="shared" si="12"/>
        <v>1</v>
      </c>
      <c r="L178">
        <f t="shared" si="13"/>
        <v>0</v>
      </c>
      <c r="M178">
        <f t="shared" si="14"/>
        <v>1</v>
      </c>
    </row>
    <row r="179" spans="1:13">
      <c r="A179">
        <v>453</v>
      </c>
      <c r="B179" s="13">
        <v>41824</v>
      </c>
      <c r="C179">
        <f t="shared" si="10"/>
        <v>2014</v>
      </c>
      <c r="D179">
        <f t="shared" si="11"/>
        <v>7</v>
      </c>
      <c r="E179" t="s">
        <v>76</v>
      </c>
      <c r="F179" t="s">
        <v>129</v>
      </c>
      <c r="G179" s="14">
        <v>59760</v>
      </c>
      <c r="H179" t="s">
        <v>49</v>
      </c>
      <c r="I179" t="s">
        <v>122</v>
      </c>
      <c r="J179" t="s">
        <v>313</v>
      </c>
      <c r="K179">
        <f t="shared" si="12"/>
        <v>1</v>
      </c>
      <c r="L179">
        <f t="shared" si="13"/>
        <v>0</v>
      </c>
      <c r="M179">
        <f t="shared" si="14"/>
        <v>1</v>
      </c>
    </row>
    <row r="180" spans="1:13">
      <c r="A180">
        <v>164</v>
      </c>
      <c r="B180" s="13">
        <v>41830</v>
      </c>
      <c r="C180">
        <f t="shared" si="10"/>
        <v>2014</v>
      </c>
      <c r="D180">
        <f t="shared" si="11"/>
        <v>7</v>
      </c>
      <c r="E180" t="s">
        <v>73</v>
      </c>
      <c r="F180" t="s">
        <v>102</v>
      </c>
      <c r="G180" s="14">
        <v>62968</v>
      </c>
      <c r="H180" t="s">
        <v>49</v>
      </c>
      <c r="I180" t="s">
        <v>122</v>
      </c>
      <c r="J180" t="s">
        <v>314</v>
      </c>
      <c r="K180">
        <f t="shared" si="12"/>
        <v>1</v>
      </c>
      <c r="L180">
        <f t="shared" si="13"/>
        <v>0</v>
      </c>
      <c r="M180">
        <f t="shared" si="14"/>
        <v>1</v>
      </c>
    </row>
    <row r="181" spans="1:13">
      <c r="A181">
        <v>413</v>
      </c>
      <c r="B181" s="13">
        <v>41830</v>
      </c>
      <c r="C181">
        <f t="shared" si="10"/>
        <v>2014</v>
      </c>
      <c r="D181">
        <f t="shared" si="11"/>
        <v>7</v>
      </c>
      <c r="E181" t="s">
        <v>73</v>
      </c>
      <c r="F181" t="s">
        <v>223</v>
      </c>
      <c r="G181" s="14">
        <v>67419</v>
      </c>
      <c r="H181" t="s">
        <v>60</v>
      </c>
      <c r="I181" t="s">
        <v>199</v>
      </c>
      <c r="J181" t="s">
        <v>315</v>
      </c>
      <c r="K181">
        <f t="shared" si="12"/>
        <v>1</v>
      </c>
      <c r="L181">
        <f t="shared" si="13"/>
        <v>0</v>
      </c>
      <c r="M181">
        <f t="shared" si="14"/>
        <v>1</v>
      </c>
    </row>
    <row r="182" spans="1:13">
      <c r="A182">
        <v>478</v>
      </c>
      <c r="B182" s="13">
        <v>41830</v>
      </c>
      <c r="C182">
        <f t="shared" si="10"/>
        <v>2014</v>
      </c>
      <c r="D182">
        <f t="shared" si="11"/>
        <v>7</v>
      </c>
      <c r="E182" t="s">
        <v>43</v>
      </c>
      <c r="F182" t="s">
        <v>67</v>
      </c>
      <c r="G182" s="14">
        <v>77618</v>
      </c>
      <c r="H182" t="s">
        <v>60</v>
      </c>
      <c r="I182" t="s">
        <v>71</v>
      </c>
      <c r="J182" t="s">
        <v>316</v>
      </c>
      <c r="K182">
        <f t="shared" si="12"/>
        <v>1</v>
      </c>
      <c r="L182">
        <f t="shared" si="13"/>
        <v>0</v>
      </c>
      <c r="M182">
        <f t="shared" si="14"/>
        <v>1</v>
      </c>
    </row>
    <row r="183" spans="1:13">
      <c r="A183">
        <v>661</v>
      </c>
      <c r="B183" s="13">
        <v>41831</v>
      </c>
      <c r="C183">
        <f t="shared" si="10"/>
        <v>2014</v>
      </c>
      <c r="D183">
        <f t="shared" si="11"/>
        <v>7</v>
      </c>
      <c r="E183" t="s">
        <v>63</v>
      </c>
      <c r="F183" t="s">
        <v>162</v>
      </c>
      <c r="G183" s="14">
        <v>63110</v>
      </c>
      <c r="H183" t="s">
        <v>81</v>
      </c>
      <c r="I183" t="s">
        <v>190</v>
      </c>
      <c r="J183" t="s">
        <v>317</v>
      </c>
      <c r="K183">
        <f t="shared" si="12"/>
        <v>1</v>
      </c>
      <c r="L183">
        <f t="shared" si="13"/>
        <v>0</v>
      </c>
      <c r="M183">
        <f t="shared" si="14"/>
        <v>1</v>
      </c>
    </row>
    <row r="184" spans="1:13">
      <c r="A184">
        <v>275</v>
      </c>
      <c r="B184" s="13">
        <v>41832</v>
      </c>
      <c r="C184">
        <f t="shared" si="10"/>
        <v>2014</v>
      </c>
      <c r="D184">
        <f t="shared" si="11"/>
        <v>7</v>
      </c>
      <c r="E184" t="s">
        <v>47</v>
      </c>
      <c r="F184" t="s">
        <v>48</v>
      </c>
      <c r="G184" s="14">
        <v>47037</v>
      </c>
      <c r="H184" t="s">
        <v>53</v>
      </c>
      <c r="I184" t="s">
        <v>120</v>
      </c>
      <c r="J184" t="s">
        <v>318</v>
      </c>
      <c r="K184">
        <f t="shared" si="12"/>
        <v>1</v>
      </c>
      <c r="L184">
        <f t="shared" si="13"/>
        <v>0</v>
      </c>
      <c r="M184">
        <f t="shared" si="14"/>
        <v>1</v>
      </c>
    </row>
    <row r="185" spans="1:13">
      <c r="A185">
        <v>445</v>
      </c>
      <c r="B185" s="13">
        <v>41833</v>
      </c>
      <c r="C185">
        <f t="shared" si="10"/>
        <v>2014</v>
      </c>
      <c r="D185">
        <f t="shared" si="11"/>
        <v>7</v>
      </c>
      <c r="E185" t="s">
        <v>43</v>
      </c>
      <c r="F185" t="s">
        <v>87</v>
      </c>
      <c r="G185" s="14">
        <v>65959</v>
      </c>
      <c r="H185" t="s">
        <v>40</v>
      </c>
      <c r="I185" t="s">
        <v>88</v>
      </c>
      <c r="J185" t="s">
        <v>319</v>
      </c>
      <c r="K185">
        <f t="shared" si="12"/>
        <v>1</v>
      </c>
      <c r="L185">
        <f t="shared" si="13"/>
        <v>0</v>
      </c>
      <c r="M185">
        <f t="shared" si="14"/>
        <v>1</v>
      </c>
    </row>
    <row r="186" spans="1:13">
      <c r="A186">
        <v>782</v>
      </c>
      <c r="B186" s="13">
        <v>41837</v>
      </c>
      <c r="C186">
        <f t="shared" si="10"/>
        <v>2014</v>
      </c>
      <c r="D186">
        <f t="shared" si="11"/>
        <v>7</v>
      </c>
      <c r="E186" t="s">
        <v>94</v>
      </c>
      <c r="F186" t="s">
        <v>192</v>
      </c>
      <c r="G186" s="14">
        <v>75582</v>
      </c>
      <c r="H186" t="s">
        <v>60</v>
      </c>
      <c r="I186" t="s">
        <v>71</v>
      </c>
      <c r="J186" t="s">
        <v>320</v>
      </c>
      <c r="K186">
        <f t="shared" si="12"/>
        <v>1</v>
      </c>
      <c r="L186">
        <f t="shared" si="13"/>
        <v>0</v>
      </c>
      <c r="M186">
        <f t="shared" si="14"/>
        <v>1</v>
      </c>
    </row>
    <row r="187" spans="1:13">
      <c r="A187">
        <v>154</v>
      </c>
      <c r="B187" s="13">
        <v>41839</v>
      </c>
      <c r="C187">
        <f t="shared" si="10"/>
        <v>2014</v>
      </c>
      <c r="D187">
        <f t="shared" si="11"/>
        <v>7</v>
      </c>
      <c r="E187" t="s">
        <v>76</v>
      </c>
      <c r="F187" t="s">
        <v>138</v>
      </c>
      <c r="G187" s="14">
        <v>70591</v>
      </c>
      <c r="H187" t="s">
        <v>49</v>
      </c>
      <c r="I187" t="s">
        <v>50</v>
      </c>
      <c r="J187" t="s">
        <v>321</v>
      </c>
      <c r="K187">
        <f t="shared" si="12"/>
        <v>1</v>
      </c>
      <c r="L187">
        <f t="shared" si="13"/>
        <v>0</v>
      </c>
      <c r="M187">
        <f t="shared" si="14"/>
        <v>1</v>
      </c>
    </row>
    <row r="188" spans="1:13">
      <c r="A188">
        <v>551</v>
      </c>
      <c r="B188" s="13">
        <v>41839</v>
      </c>
      <c r="C188">
        <f t="shared" si="10"/>
        <v>2014</v>
      </c>
      <c r="D188">
        <f t="shared" si="11"/>
        <v>7</v>
      </c>
      <c r="E188" t="s">
        <v>76</v>
      </c>
      <c r="F188" t="s">
        <v>138</v>
      </c>
      <c r="G188" s="14">
        <v>79016</v>
      </c>
      <c r="H188" t="s">
        <v>60</v>
      </c>
      <c r="I188" t="s">
        <v>71</v>
      </c>
      <c r="J188" t="s">
        <v>322</v>
      </c>
      <c r="K188">
        <f t="shared" si="12"/>
        <v>1</v>
      </c>
      <c r="L188">
        <f t="shared" si="13"/>
        <v>0</v>
      </c>
      <c r="M188">
        <f t="shared" si="14"/>
        <v>1</v>
      </c>
    </row>
    <row r="189" spans="1:13">
      <c r="A189">
        <v>485</v>
      </c>
      <c r="B189" s="13">
        <v>41848</v>
      </c>
      <c r="C189">
        <f t="shared" si="10"/>
        <v>2014</v>
      </c>
      <c r="D189">
        <f t="shared" si="11"/>
        <v>7</v>
      </c>
      <c r="E189" t="s">
        <v>38</v>
      </c>
      <c r="F189" t="s">
        <v>80</v>
      </c>
      <c r="G189" s="14">
        <v>77575</v>
      </c>
      <c r="H189" t="s">
        <v>57</v>
      </c>
      <c r="I189" t="s">
        <v>231</v>
      </c>
      <c r="J189" t="s">
        <v>323</v>
      </c>
      <c r="K189">
        <f t="shared" si="12"/>
        <v>1</v>
      </c>
      <c r="L189">
        <f t="shared" si="13"/>
        <v>0</v>
      </c>
      <c r="M189">
        <f t="shared" si="14"/>
        <v>1</v>
      </c>
    </row>
    <row r="190" spans="1:13">
      <c r="A190">
        <v>536</v>
      </c>
      <c r="B190" s="13">
        <v>41848</v>
      </c>
      <c r="C190">
        <f t="shared" si="10"/>
        <v>2014</v>
      </c>
      <c r="D190">
        <f t="shared" si="11"/>
        <v>7</v>
      </c>
      <c r="E190" t="s">
        <v>43</v>
      </c>
      <c r="F190" t="s">
        <v>70</v>
      </c>
      <c r="G190" s="14">
        <v>47973</v>
      </c>
      <c r="H190" t="s">
        <v>40</v>
      </c>
      <c r="I190" t="s">
        <v>98</v>
      </c>
      <c r="J190" t="s">
        <v>324</v>
      </c>
      <c r="K190">
        <f t="shared" si="12"/>
        <v>1</v>
      </c>
      <c r="L190">
        <f t="shared" si="13"/>
        <v>0</v>
      </c>
      <c r="M190">
        <f t="shared" si="14"/>
        <v>1</v>
      </c>
    </row>
    <row r="191" spans="1:13">
      <c r="A191">
        <v>61</v>
      </c>
      <c r="B191" s="13">
        <v>41851</v>
      </c>
      <c r="C191">
        <f t="shared" si="10"/>
        <v>2014</v>
      </c>
      <c r="D191">
        <f t="shared" si="11"/>
        <v>7</v>
      </c>
      <c r="E191" t="s">
        <v>38</v>
      </c>
      <c r="F191" t="s">
        <v>165</v>
      </c>
      <c r="G191" s="14">
        <v>66856</v>
      </c>
      <c r="H191" t="s">
        <v>53</v>
      </c>
      <c r="I191" t="s">
        <v>68</v>
      </c>
      <c r="J191" t="s">
        <v>325</v>
      </c>
      <c r="K191">
        <f t="shared" si="12"/>
        <v>1</v>
      </c>
      <c r="L191">
        <f t="shared" si="13"/>
        <v>0</v>
      </c>
      <c r="M191">
        <f t="shared" si="14"/>
        <v>1</v>
      </c>
    </row>
    <row r="192" spans="1:13">
      <c r="A192">
        <v>657</v>
      </c>
      <c r="B192" s="13">
        <v>41861</v>
      </c>
      <c r="C192">
        <f t="shared" si="10"/>
        <v>2014</v>
      </c>
      <c r="D192">
        <f t="shared" si="11"/>
        <v>8</v>
      </c>
      <c r="E192" t="s">
        <v>76</v>
      </c>
      <c r="F192" t="s">
        <v>110</v>
      </c>
      <c r="G192" s="14">
        <v>49071</v>
      </c>
      <c r="H192" t="s">
        <v>53</v>
      </c>
      <c r="I192" t="s">
        <v>92</v>
      </c>
      <c r="J192" t="s">
        <v>326</v>
      </c>
      <c r="K192">
        <f t="shared" si="12"/>
        <v>1</v>
      </c>
      <c r="L192">
        <f t="shared" si="13"/>
        <v>0</v>
      </c>
      <c r="M192">
        <f t="shared" si="14"/>
        <v>1</v>
      </c>
    </row>
    <row r="193" spans="1:13">
      <c r="A193">
        <v>360</v>
      </c>
      <c r="B193" s="13">
        <v>41862</v>
      </c>
      <c r="C193">
        <f t="shared" si="10"/>
        <v>2014</v>
      </c>
      <c r="D193">
        <f t="shared" si="11"/>
        <v>8</v>
      </c>
      <c r="E193" t="s">
        <v>47</v>
      </c>
      <c r="F193" t="s">
        <v>52</v>
      </c>
      <c r="G193" s="14">
        <v>53046</v>
      </c>
      <c r="H193" t="s">
        <v>40</v>
      </c>
      <c r="I193" t="s">
        <v>158</v>
      </c>
      <c r="J193" t="s">
        <v>327</v>
      </c>
      <c r="K193">
        <f t="shared" si="12"/>
        <v>1</v>
      </c>
      <c r="L193">
        <f t="shared" si="13"/>
        <v>0</v>
      </c>
      <c r="M193">
        <f t="shared" si="14"/>
        <v>1</v>
      </c>
    </row>
    <row r="194" spans="1:13">
      <c r="A194">
        <v>18</v>
      </c>
      <c r="B194" s="13">
        <v>41868</v>
      </c>
      <c r="C194">
        <f t="shared" ref="C194:C257" si="15">YEAR(B194)</f>
        <v>2014</v>
      </c>
      <c r="D194">
        <f t="shared" ref="D194:D257" si="16">MONTH(B194)</f>
        <v>8</v>
      </c>
      <c r="E194" t="s">
        <v>94</v>
      </c>
      <c r="F194" t="s">
        <v>328</v>
      </c>
      <c r="G194" s="14">
        <v>54573.29</v>
      </c>
      <c r="H194" t="s">
        <v>81</v>
      </c>
      <c r="I194" t="s">
        <v>146</v>
      </c>
      <c r="J194" t="s">
        <v>329</v>
      </c>
      <c r="K194">
        <f t="shared" ref="K194:K257" si="17">IF(AND(OR(sel_ano="Todos",C194=sel_ano),OR(sel_pais="Todos",H194=sel_pais),OR(sel_marca="Todas",E194=sel_marca)),1,0)</f>
        <v>1</v>
      </c>
      <c r="L194">
        <f t="shared" ref="L194:L257" si="18">IF(sel_ano="Todos",0,IF(AND(C194=sel_ano-1,OR(sel_pais="Todos",H194=sel_pais),OR(sel_marca="Todas",E194=sel_marca)),1,0))</f>
        <v>0</v>
      </c>
      <c r="M194">
        <f t="shared" ref="M194:M257" si="19">IF(AND(OR(sel_pais="Todos",H194=sel_pais),OR(sel_marca="Todas",E194=sel_marca)),1,0)</f>
        <v>1</v>
      </c>
    </row>
    <row r="195" spans="1:13">
      <c r="A195">
        <v>699</v>
      </c>
      <c r="B195" s="13">
        <v>41873</v>
      </c>
      <c r="C195">
        <f t="shared" si="15"/>
        <v>2014</v>
      </c>
      <c r="D195">
        <f t="shared" si="16"/>
        <v>8</v>
      </c>
      <c r="E195" t="s">
        <v>76</v>
      </c>
      <c r="F195" t="s">
        <v>129</v>
      </c>
      <c r="G195" s="14">
        <v>44927</v>
      </c>
      <c r="H195" t="s">
        <v>53</v>
      </c>
      <c r="I195" t="s">
        <v>120</v>
      </c>
      <c r="J195" t="s">
        <v>330</v>
      </c>
      <c r="K195">
        <f t="shared" si="17"/>
        <v>1</v>
      </c>
      <c r="L195">
        <f t="shared" si="18"/>
        <v>0</v>
      </c>
      <c r="M195">
        <f t="shared" si="19"/>
        <v>1</v>
      </c>
    </row>
    <row r="196" spans="1:13">
      <c r="A196">
        <v>831</v>
      </c>
      <c r="B196" s="13">
        <v>41873</v>
      </c>
      <c r="C196">
        <f t="shared" si="15"/>
        <v>2014</v>
      </c>
      <c r="D196">
        <f t="shared" si="16"/>
        <v>8</v>
      </c>
      <c r="E196" t="s">
        <v>76</v>
      </c>
      <c r="F196" t="s">
        <v>110</v>
      </c>
      <c r="G196" s="14">
        <v>58565</v>
      </c>
      <c r="H196" t="s">
        <v>53</v>
      </c>
      <c r="I196" t="s">
        <v>92</v>
      </c>
      <c r="J196" t="s">
        <v>331</v>
      </c>
      <c r="K196">
        <f t="shared" si="17"/>
        <v>1</v>
      </c>
      <c r="L196">
        <f t="shared" si="18"/>
        <v>0</v>
      </c>
      <c r="M196">
        <f t="shared" si="19"/>
        <v>1</v>
      </c>
    </row>
    <row r="197" spans="1:13">
      <c r="A197">
        <v>553</v>
      </c>
      <c r="B197" s="13">
        <v>41879</v>
      </c>
      <c r="C197">
        <f t="shared" si="15"/>
        <v>2014</v>
      </c>
      <c r="D197">
        <f t="shared" si="16"/>
        <v>8</v>
      </c>
      <c r="E197" t="s">
        <v>76</v>
      </c>
      <c r="F197" t="s">
        <v>91</v>
      </c>
      <c r="G197" s="14">
        <v>48851</v>
      </c>
      <c r="H197" t="s">
        <v>53</v>
      </c>
      <c r="I197" t="s">
        <v>92</v>
      </c>
      <c r="J197" t="s">
        <v>332</v>
      </c>
      <c r="K197">
        <f t="shared" si="17"/>
        <v>1</v>
      </c>
      <c r="L197">
        <f t="shared" si="18"/>
        <v>0</v>
      </c>
      <c r="M197">
        <f t="shared" si="19"/>
        <v>1</v>
      </c>
    </row>
    <row r="198" spans="1:13">
      <c r="A198">
        <v>295</v>
      </c>
      <c r="B198" s="13">
        <v>41881</v>
      </c>
      <c r="C198">
        <f t="shared" si="15"/>
        <v>2014</v>
      </c>
      <c r="D198">
        <f t="shared" si="16"/>
        <v>8</v>
      </c>
      <c r="E198" t="s">
        <v>43</v>
      </c>
      <c r="F198" t="s">
        <v>67</v>
      </c>
      <c r="G198" s="14">
        <v>64458</v>
      </c>
      <c r="H198" t="s">
        <v>60</v>
      </c>
      <c r="I198" t="s">
        <v>61</v>
      </c>
      <c r="J198" t="s">
        <v>333</v>
      </c>
      <c r="K198">
        <f t="shared" si="17"/>
        <v>1</v>
      </c>
      <c r="L198">
        <f t="shared" si="18"/>
        <v>0</v>
      </c>
      <c r="M198">
        <f t="shared" si="19"/>
        <v>1</v>
      </c>
    </row>
    <row r="199" spans="1:13">
      <c r="A199">
        <v>520</v>
      </c>
      <c r="B199" s="13">
        <v>41888</v>
      </c>
      <c r="C199">
        <f t="shared" si="15"/>
        <v>2014</v>
      </c>
      <c r="D199">
        <f t="shared" si="16"/>
        <v>9</v>
      </c>
      <c r="E199" t="s">
        <v>76</v>
      </c>
      <c r="F199" t="s">
        <v>216</v>
      </c>
      <c r="G199" s="14">
        <v>65354</v>
      </c>
      <c r="H199" t="s">
        <v>40</v>
      </c>
      <c r="I199" t="s">
        <v>41</v>
      </c>
      <c r="J199" t="s">
        <v>334</v>
      </c>
      <c r="K199">
        <f t="shared" si="17"/>
        <v>1</v>
      </c>
      <c r="L199">
        <f t="shared" si="18"/>
        <v>0</v>
      </c>
      <c r="M199">
        <f t="shared" si="19"/>
        <v>1</v>
      </c>
    </row>
    <row r="200" spans="1:13">
      <c r="A200">
        <v>456</v>
      </c>
      <c r="B200" s="13">
        <v>41889</v>
      </c>
      <c r="C200">
        <f t="shared" si="15"/>
        <v>2014</v>
      </c>
      <c r="D200">
        <f t="shared" si="16"/>
        <v>9</v>
      </c>
      <c r="E200" t="s">
        <v>73</v>
      </c>
      <c r="F200" t="s">
        <v>74</v>
      </c>
      <c r="G200" s="14">
        <v>72135</v>
      </c>
      <c r="H200" t="s">
        <v>60</v>
      </c>
      <c r="I200" t="s">
        <v>114</v>
      </c>
      <c r="J200" t="s">
        <v>335</v>
      </c>
      <c r="K200">
        <f t="shared" si="17"/>
        <v>1</v>
      </c>
      <c r="L200">
        <f t="shared" si="18"/>
        <v>0</v>
      </c>
      <c r="M200">
        <f t="shared" si="19"/>
        <v>1</v>
      </c>
    </row>
    <row r="201" spans="1:13">
      <c r="A201">
        <v>389</v>
      </c>
      <c r="B201" s="13">
        <v>41893</v>
      </c>
      <c r="C201">
        <f t="shared" si="15"/>
        <v>2014</v>
      </c>
      <c r="D201">
        <f t="shared" si="16"/>
        <v>9</v>
      </c>
      <c r="E201" t="s">
        <v>43</v>
      </c>
      <c r="F201" t="s">
        <v>134</v>
      </c>
      <c r="G201" s="14">
        <v>73006</v>
      </c>
      <c r="H201" t="s">
        <v>40</v>
      </c>
      <c r="I201" t="s">
        <v>88</v>
      </c>
      <c r="J201" t="s">
        <v>336</v>
      </c>
      <c r="K201">
        <f t="shared" si="17"/>
        <v>1</v>
      </c>
      <c r="L201">
        <f t="shared" si="18"/>
        <v>0</v>
      </c>
      <c r="M201">
        <f t="shared" si="19"/>
        <v>1</v>
      </c>
    </row>
    <row r="202" spans="1:13">
      <c r="A202">
        <v>42</v>
      </c>
      <c r="B202" s="13">
        <v>41904</v>
      </c>
      <c r="C202">
        <f t="shared" si="15"/>
        <v>2014</v>
      </c>
      <c r="D202">
        <f t="shared" si="16"/>
        <v>9</v>
      </c>
      <c r="E202" t="s">
        <v>38</v>
      </c>
      <c r="F202" t="s">
        <v>165</v>
      </c>
      <c r="G202" s="14">
        <v>70985</v>
      </c>
      <c r="H202" t="s">
        <v>57</v>
      </c>
      <c r="I202" t="s">
        <v>231</v>
      </c>
      <c r="J202" t="s">
        <v>337</v>
      </c>
      <c r="K202">
        <f t="shared" si="17"/>
        <v>1</v>
      </c>
      <c r="L202">
        <f t="shared" si="18"/>
        <v>0</v>
      </c>
      <c r="M202">
        <f t="shared" si="19"/>
        <v>1</v>
      </c>
    </row>
    <row r="203" spans="1:13">
      <c r="A203">
        <v>658</v>
      </c>
      <c r="B203" s="13">
        <v>41904</v>
      </c>
      <c r="C203">
        <f t="shared" si="15"/>
        <v>2014</v>
      </c>
      <c r="D203">
        <f t="shared" si="16"/>
        <v>9</v>
      </c>
      <c r="E203" t="s">
        <v>43</v>
      </c>
      <c r="F203" t="s">
        <v>134</v>
      </c>
      <c r="G203" s="14">
        <v>65783</v>
      </c>
      <c r="H203" t="s">
        <v>53</v>
      </c>
      <c r="I203" t="s">
        <v>120</v>
      </c>
      <c r="J203" t="s">
        <v>338</v>
      </c>
      <c r="K203">
        <f t="shared" si="17"/>
        <v>1</v>
      </c>
      <c r="L203">
        <f t="shared" si="18"/>
        <v>0</v>
      </c>
      <c r="M203">
        <f t="shared" si="19"/>
        <v>1</v>
      </c>
    </row>
    <row r="204" spans="1:13">
      <c r="A204">
        <v>326</v>
      </c>
      <c r="B204" s="13">
        <v>41908</v>
      </c>
      <c r="C204">
        <f t="shared" si="15"/>
        <v>2014</v>
      </c>
      <c r="D204">
        <f t="shared" si="16"/>
        <v>9</v>
      </c>
      <c r="E204" t="s">
        <v>63</v>
      </c>
      <c r="F204" t="s">
        <v>179</v>
      </c>
      <c r="G204" s="14">
        <v>66317</v>
      </c>
      <c r="H204" t="s">
        <v>40</v>
      </c>
      <c r="I204" t="s">
        <v>180</v>
      </c>
      <c r="J204" t="s">
        <v>339</v>
      </c>
      <c r="K204">
        <f t="shared" si="17"/>
        <v>1</v>
      </c>
      <c r="L204">
        <f t="shared" si="18"/>
        <v>0</v>
      </c>
      <c r="M204">
        <f t="shared" si="19"/>
        <v>1</v>
      </c>
    </row>
    <row r="205" spans="1:13">
      <c r="A205">
        <v>641</v>
      </c>
      <c r="B205" s="13">
        <v>41911</v>
      </c>
      <c r="C205">
        <f t="shared" si="15"/>
        <v>2014</v>
      </c>
      <c r="D205">
        <f t="shared" si="16"/>
        <v>9</v>
      </c>
      <c r="E205" t="s">
        <v>38</v>
      </c>
      <c r="F205" t="s">
        <v>56</v>
      </c>
      <c r="G205" s="14">
        <v>74288</v>
      </c>
      <c r="H205" t="s">
        <v>40</v>
      </c>
      <c r="I205" t="s">
        <v>45</v>
      </c>
      <c r="J205" t="s">
        <v>340</v>
      </c>
      <c r="K205">
        <f t="shared" si="17"/>
        <v>1</v>
      </c>
      <c r="L205">
        <f t="shared" si="18"/>
        <v>0</v>
      </c>
      <c r="M205">
        <f t="shared" si="19"/>
        <v>1</v>
      </c>
    </row>
    <row r="206" spans="1:13">
      <c r="A206">
        <v>107</v>
      </c>
      <c r="B206" s="13">
        <v>41915</v>
      </c>
      <c r="C206">
        <f t="shared" si="15"/>
        <v>2014</v>
      </c>
      <c r="D206">
        <f t="shared" si="16"/>
        <v>10</v>
      </c>
      <c r="E206" t="s">
        <v>47</v>
      </c>
      <c r="F206" t="s">
        <v>136</v>
      </c>
      <c r="G206" s="14">
        <v>51176</v>
      </c>
      <c r="H206" t="s">
        <v>49</v>
      </c>
      <c r="I206" t="s">
        <v>103</v>
      </c>
      <c r="J206" t="s">
        <v>341</v>
      </c>
      <c r="K206">
        <f t="shared" si="17"/>
        <v>1</v>
      </c>
      <c r="L206">
        <f t="shared" si="18"/>
        <v>0</v>
      </c>
      <c r="M206">
        <f t="shared" si="19"/>
        <v>1</v>
      </c>
    </row>
    <row r="207" spans="1:13">
      <c r="A207">
        <v>597</v>
      </c>
      <c r="B207" s="13">
        <v>41916</v>
      </c>
      <c r="C207">
        <f t="shared" si="15"/>
        <v>2014</v>
      </c>
      <c r="D207">
        <f t="shared" si="16"/>
        <v>10</v>
      </c>
      <c r="E207" t="s">
        <v>76</v>
      </c>
      <c r="F207" t="s">
        <v>129</v>
      </c>
      <c r="G207" s="14">
        <v>61414</v>
      </c>
      <c r="H207" t="s">
        <v>40</v>
      </c>
      <c r="I207" t="s">
        <v>45</v>
      </c>
      <c r="J207" t="s">
        <v>342</v>
      </c>
      <c r="K207">
        <f t="shared" si="17"/>
        <v>1</v>
      </c>
      <c r="L207">
        <f t="shared" si="18"/>
        <v>0</v>
      </c>
      <c r="M207">
        <f t="shared" si="19"/>
        <v>1</v>
      </c>
    </row>
    <row r="208" spans="1:13">
      <c r="A208">
        <v>941</v>
      </c>
      <c r="B208" s="13">
        <v>41922</v>
      </c>
      <c r="C208">
        <f t="shared" si="15"/>
        <v>2014</v>
      </c>
      <c r="D208">
        <f t="shared" si="16"/>
        <v>10</v>
      </c>
      <c r="E208" t="s">
        <v>47</v>
      </c>
      <c r="F208" t="s">
        <v>116</v>
      </c>
      <c r="G208" s="14">
        <v>55212</v>
      </c>
      <c r="H208" t="s">
        <v>53</v>
      </c>
      <c r="I208" t="s">
        <v>54</v>
      </c>
      <c r="J208" t="s">
        <v>343</v>
      </c>
      <c r="K208">
        <f t="shared" si="17"/>
        <v>1</v>
      </c>
      <c r="L208">
        <f t="shared" si="18"/>
        <v>0</v>
      </c>
      <c r="M208">
        <f t="shared" si="19"/>
        <v>1</v>
      </c>
    </row>
    <row r="209" spans="1:13">
      <c r="A209">
        <v>75</v>
      </c>
      <c r="B209" s="13">
        <v>41926</v>
      </c>
      <c r="C209">
        <f t="shared" si="15"/>
        <v>2014</v>
      </c>
      <c r="D209">
        <f t="shared" si="16"/>
        <v>10</v>
      </c>
      <c r="E209" t="s">
        <v>47</v>
      </c>
      <c r="F209" t="s">
        <v>136</v>
      </c>
      <c r="G209" s="14">
        <v>45238</v>
      </c>
      <c r="H209" t="s">
        <v>60</v>
      </c>
      <c r="I209" t="s">
        <v>61</v>
      </c>
      <c r="J209" t="s">
        <v>344</v>
      </c>
      <c r="K209">
        <f t="shared" si="17"/>
        <v>1</v>
      </c>
      <c r="L209">
        <f t="shared" si="18"/>
        <v>0</v>
      </c>
      <c r="M209">
        <f t="shared" si="19"/>
        <v>1</v>
      </c>
    </row>
    <row r="210" spans="1:13">
      <c r="A210">
        <v>267</v>
      </c>
      <c r="B210" s="13">
        <v>41929</v>
      </c>
      <c r="C210">
        <f t="shared" si="15"/>
        <v>2014</v>
      </c>
      <c r="D210">
        <f t="shared" si="16"/>
        <v>10</v>
      </c>
      <c r="E210" t="s">
        <v>43</v>
      </c>
      <c r="F210" t="s">
        <v>70</v>
      </c>
      <c r="G210" s="14">
        <v>69349</v>
      </c>
      <c r="H210" t="s">
        <v>53</v>
      </c>
      <c r="I210" t="s">
        <v>68</v>
      </c>
      <c r="J210" t="s">
        <v>345</v>
      </c>
      <c r="K210">
        <f t="shared" si="17"/>
        <v>1</v>
      </c>
      <c r="L210">
        <f t="shared" si="18"/>
        <v>0</v>
      </c>
      <c r="M210">
        <f t="shared" si="19"/>
        <v>1</v>
      </c>
    </row>
    <row r="211" spans="1:13">
      <c r="A211">
        <v>500</v>
      </c>
      <c r="B211" s="13">
        <v>41933</v>
      </c>
      <c r="C211">
        <f t="shared" si="15"/>
        <v>2014</v>
      </c>
      <c r="D211">
        <f t="shared" si="16"/>
        <v>10</v>
      </c>
      <c r="E211" t="s">
        <v>47</v>
      </c>
      <c r="F211" t="s">
        <v>52</v>
      </c>
      <c r="G211" s="14">
        <v>78581</v>
      </c>
      <c r="H211" t="s">
        <v>40</v>
      </c>
      <c r="I211" t="s">
        <v>45</v>
      </c>
      <c r="J211" t="s">
        <v>346</v>
      </c>
      <c r="K211">
        <f t="shared" si="17"/>
        <v>1</v>
      </c>
      <c r="L211">
        <f t="shared" si="18"/>
        <v>0</v>
      </c>
      <c r="M211">
        <f t="shared" si="19"/>
        <v>1</v>
      </c>
    </row>
    <row r="212" spans="1:13">
      <c r="A212">
        <v>409</v>
      </c>
      <c r="B212" s="13">
        <v>41936</v>
      </c>
      <c r="C212">
        <f t="shared" si="15"/>
        <v>2014</v>
      </c>
      <c r="D212">
        <f t="shared" si="16"/>
        <v>10</v>
      </c>
      <c r="E212" t="s">
        <v>94</v>
      </c>
      <c r="F212" t="s">
        <v>186</v>
      </c>
      <c r="G212" s="14">
        <v>49705</v>
      </c>
      <c r="H212" t="s">
        <v>81</v>
      </c>
      <c r="I212" t="s">
        <v>190</v>
      </c>
      <c r="J212" t="s">
        <v>347</v>
      </c>
      <c r="K212">
        <f t="shared" si="17"/>
        <v>1</v>
      </c>
      <c r="L212">
        <f t="shared" si="18"/>
        <v>0</v>
      </c>
      <c r="M212">
        <f t="shared" si="19"/>
        <v>1</v>
      </c>
    </row>
    <row r="213" spans="1:13">
      <c r="A213">
        <v>69</v>
      </c>
      <c r="B213" s="13">
        <v>41937</v>
      </c>
      <c r="C213">
        <f t="shared" si="15"/>
        <v>2014</v>
      </c>
      <c r="D213">
        <f t="shared" si="16"/>
        <v>10</v>
      </c>
      <c r="E213" t="s">
        <v>47</v>
      </c>
      <c r="F213" t="s">
        <v>155</v>
      </c>
      <c r="G213" s="14">
        <v>47637</v>
      </c>
      <c r="H213" t="s">
        <v>60</v>
      </c>
      <c r="I213" t="s">
        <v>188</v>
      </c>
      <c r="J213" t="s">
        <v>348</v>
      </c>
      <c r="K213">
        <f t="shared" si="17"/>
        <v>1</v>
      </c>
      <c r="L213">
        <f t="shared" si="18"/>
        <v>0</v>
      </c>
      <c r="M213">
        <f t="shared" si="19"/>
        <v>1</v>
      </c>
    </row>
    <row r="214" spans="1:13">
      <c r="A214">
        <v>584</v>
      </c>
      <c r="B214" s="13">
        <v>41938</v>
      </c>
      <c r="C214">
        <f t="shared" si="15"/>
        <v>2014</v>
      </c>
      <c r="D214">
        <f t="shared" si="16"/>
        <v>10</v>
      </c>
      <c r="E214" t="s">
        <v>38</v>
      </c>
      <c r="F214" t="s">
        <v>227</v>
      </c>
      <c r="G214" s="14">
        <v>57976</v>
      </c>
      <c r="H214" t="s">
        <v>81</v>
      </c>
      <c r="I214" t="s">
        <v>153</v>
      </c>
      <c r="J214" t="s">
        <v>349</v>
      </c>
      <c r="K214">
        <f t="shared" si="17"/>
        <v>1</v>
      </c>
      <c r="L214">
        <f t="shared" si="18"/>
        <v>0</v>
      </c>
      <c r="M214">
        <f t="shared" si="19"/>
        <v>1</v>
      </c>
    </row>
    <row r="215" spans="1:13">
      <c r="A215">
        <v>459</v>
      </c>
      <c r="B215" s="13">
        <v>41941</v>
      </c>
      <c r="C215">
        <f t="shared" si="15"/>
        <v>2014</v>
      </c>
      <c r="D215">
        <f t="shared" si="16"/>
        <v>10</v>
      </c>
      <c r="E215" t="s">
        <v>47</v>
      </c>
      <c r="F215" t="s">
        <v>155</v>
      </c>
      <c r="G215" s="14">
        <v>69153</v>
      </c>
      <c r="H215" t="s">
        <v>53</v>
      </c>
      <c r="I215" t="s">
        <v>68</v>
      </c>
      <c r="J215" t="s">
        <v>350</v>
      </c>
      <c r="K215">
        <f t="shared" si="17"/>
        <v>1</v>
      </c>
      <c r="L215">
        <f t="shared" si="18"/>
        <v>0</v>
      </c>
      <c r="M215">
        <f t="shared" si="19"/>
        <v>1</v>
      </c>
    </row>
    <row r="216" spans="1:13">
      <c r="A216">
        <v>303</v>
      </c>
      <c r="B216" s="13">
        <v>41942</v>
      </c>
      <c r="C216">
        <f t="shared" si="15"/>
        <v>2014</v>
      </c>
      <c r="D216">
        <f t="shared" si="16"/>
        <v>10</v>
      </c>
      <c r="E216" t="s">
        <v>63</v>
      </c>
      <c r="F216" t="s">
        <v>248</v>
      </c>
      <c r="G216" s="14">
        <v>41563</v>
      </c>
      <c r="H216" t="s">
        <v>40</v>
      </c>
      <c r="I216" t="s">
        <v>291</v>
      </c>
      <c r="J216" t="s">
        <v>351</v>
      </c>
      <c r="K216">
        <f t="shared" si="17"/>
        <v>1</v>
      </c>
      <c r="L216">
        <f t="shared" si="18"/>
        <v>0</v>
      </c>
      <c r="M216">
        <f t="shared" si="19"/>
        <v>1</v>
      </c>
    </row>
    <row r="217" spans="1:13">
      <c r="A217">
        <v>499</v>
      </c>
      <c r="B217" s="13">
        <v>41948</v>
      </c>
      <c r="C217">
        <f t="shared" si="15"/>
        <v>2014</v>
      </c>
      <c r="D217">
        <f t="shared" si="16"/>
        <v>11</v>
      </c>
      <c r="E217" t="s">
        <v>43</v>
      </c>
      <c r="F217" t="s">
        <v>197</v>
      </c>
      <c r="G217" s="14">
        <v>75084</v>
      </c>
      <c r="H217" t="s">
        <v>57</v>
      </c>
      <c r="I217" t="s">
        <v>106</v>
      </c>
      <c r="J217" t="s">
        <v>352</v>
      </c>
      <c r="K217">
        <f t="shared" si="17"/>
        <v>1</v>
      </c>
      <c r="L217">
        <f t="shared" si="18"/>
        <v>0</v>
      </c>
      <c r="M217">
        <f t="shared" si="19"/>
        <v>1</v>
      </c>
    </row>
    <row r="218" spans="1:13">
      <c r="A218">
        <v>438</v>
      </c>
      <c r="B218" s="13">
        <v>41950</v>
      </c>
      <c r="C218">
        <f t="shared" si="15"/>
        <v>2014</v>
      </c>
      <c r="D218">
        <f t="shared" si="16"/>
        <v>11</v>
      </c>
      <c r="E218" t="s">
        <v>43</v>
      </c>
      <c r="F218" t="s">
        <v>70</v>
      </c>
      <c r="G218" s="14">
        <v>56401</v>
      </c>
      <c r="H218" t="s">
        <v>49</v>
      </c>
      <c r="I218" t="s">
        <v>103</v>
      </c>
      <c r="J218" t="s">
        <v>353</v>
      </c>
      <c r="K218">
        <f t="shared" si="17"/>
        <v>1</v>
      </c>
      <c r="L218">
        <f t="shared" si="18"/>
        <v>0</v>
      </c>
      <c r="M218">
        <f t="shared" si="19"/>
        <v>1</v>
      </c>
    </row>
    <row r="219" spans="1:13">
      <c r="A219">
        <v>870</v>
      </c>
      <c r="B219" s="13">
        <v>41951</v>
      </c>
      <c r="C219">
        <f t="shared" si="15"/>
        <v>2014</v>
      </c>
      <c r="D219">
        <f t="shared" si="16"/>
        <v>11</v>
      </c>
      <c r="E219" t="s">
        <v>63</v>
      </c>
      <c r="F219" t="s">
        <v>64</v>
      </c>
      <c r="G219" s="14">
        <v>59270</v>
      </c>
      <c r="H219" t="s">
        <v>40</v>
      </c>
      <c r="I219" t="s">
        <v>180</v>
      </c>
      <c r="J219" t="s">
        <v>354</v>
      </c>
      <c r="K219">
        <f t="shared" si="17"/>
        <v>1</v>
      </c>
      <c r="L219">
        <f t="shared" si="18"/>
        <v>0</v>
      </c>
      <c r="M219">
        <f t="shared" si="19"/>
        <v>1</v>
      </c>
    </row>
    <row r="220" spans="1:13">
      <c r="A220">
        <v>273</v>
      </c>
      <c r="B220" s="13">
        <v>41955</v>
      </c>
      <c r="C220">
        <f t="shared" si="15"/>
        <v>2014</v>
      </c>
      <c r="D220">
        <f t="shared" si="16"/>
        <v>11</v>
      </c>
      <c r="E220" t="s">
        <v>76</v>
      </c>
      <c r="F220" t="s">
        <v>129</v>
      </c>
      <c r="G220" s="14">
        <v>73415</v>
      </c>
      <c r="H220" t="s">
        <v>49</v>
      </c>
      <c r="I220" t="s">
        <v>50</v>
      </c>
      <c r="J220" t="s">
        <v>355</v>
      </c>
      <c r="K220">
        <f t="shared" si="17"/>
        <v>1</v>
      </c>
      <c r="L220">
        <f t="shared" si="18"/>
        <v>0</v>
      </c>
      <c r="M220">
        <f t="shared" si="19"/>
        <v>1</v>
      </c>
    </row>
    <row r="221" spans="1:13">
      <c r="A221">
        <v>582</v>
      </c>
      <c r="B221" s="13">
        <v>41961</v>
      </c>
      <c r="C221">
        <f t="shared" si="15"/>
        <v>2014</v>
      </c>
      <c r="D221">
        <f t="shared" si="16"/>
        <v>11</v>
      </c>
      <c r="E221" t="s">
        <v>43</v>
      </c>
      <c r="F221" t="s">
        <v>134</v>
      </c>
      <c r="G221" s="14">
        <v>56409</v>
      </c>
      <c r="H221" t="s">
        <v>40</v>
      </c>
      <c r="I221" t="s">
        <v>98</v>
      </c>
      <c r="J221" t="s">
        <v>356</v>
      </c>
      <c r="K221">
        <f t="shared" si="17"/>
        <v>1</v>
      </c>
      <c r="L221">
        <f t="shared" si="18"/>
        <v>0</v>
      </c>
      <c r="M221">
        <f t="shared" si="19"/>
        <v>1</v>
      </c>
    </row>
    <row r="222" spans="1:13">
      <c r="A222">
        <v>237</v>
      </c>
      <c r="B222" s="13">
        <v>41962</v>
      </c>
      <c r="C222">
        <f t="shared" si="15"/>
        <v>2014</v>
      </c>
      <c r="D222">
        <f t="shared" si="16"/>
        <v>11</v>
      </c>
      <c r="E222" t="s">
        <v>43</v>
      </c>
      <c r="F222" t="s">
        <v>134</v>
      </c>
      <c r="G222" s="14">
        <v>67243</v>
      </c>
      <c r="H222" t="s">
        <v>49</v>
      </c>
      <c r="I222" t="s">
        <v>96</v>
      </c>
      <c r="J222" t="s">
        <v>357</v>
      </c>
      <c r="K222">
        <f t="shared" si="17"/>
        <v>1</v>
      </c>
      <c r="L222">
        <f t="shared" si="18"/>
        <v>0</v>
      </c>
      <c r="M222">
        <f t="shared" si="19"/>
        <v>1</v>
      </c>
    </row>
    <row r="223" spans="1:13">
      <c r="A223">
        <v>683</v>
      </c>
      <c r="B223" s="13">
        <v>41962</v>
      </c>
      <c r="C223">
        <f t="shared" si="15"/>
        <v>2014</v>
      </c>
      <c r="D223">
        <f t="shared" si="16"/>
        <v>11</v>
      </c>
      <c r="E223" t="s">
        <v>73</v>
      </c>
      <c r="F223" t="s">
        <v>150</v>
      </c>
      <c r="G223" s="14">
        <v>42761</v>
      </c>
      <c r="H223" t="s">
        <v>53</v>
      </c>
      <c r="I223" t="s">
        <v>78</v>
      </c>
      <c r="J223" t="s">
        <v>358</v>
      </c>
      <c r="K223">
        <f t="shared" si="17"/>
        <v>1</v>
      </c>
      <c r="L223">
        <f t="shared" si="18"/>
        <v>0</v>
      </c>
      <c r="M223">
        <f t="shared" si="19"/>
        <v>1</v>
      </c>
    </row>
    <row r="224" spans="1:13">
      <c r="A224">
        <v>23</v>
      </c>
      <c r="B224" s="13">
        <v>41964</v>
      </c>
      <c r="C224">
        <f t="shared" si="15"/>
        <v>2014</v>
      </c>
      <c r="D224">
        <f t="shared" si="16"/>
        <v>11</v>
      </c>
      <c r="E224" t="s">
        <v>73</v>
      </c>
      <c r="F224" t="s">
        <v>74</v>
      </c>
      <c r="G224" s="14">
        <v>48290</v>
      </c>
      <c r="H224" t="s">
        <v>81</v>
      </c>
      <c r="I224" t="s">
        <v>146</v>
      </c>
      <c r="J224" t="s">
        <v>359</v>
      </c>
      <c r="K224">
        <f t="shared" si="17"/>
        <v>1</v>
      </c>
      <c r="L224">
        <f t="shared" si="18"/>
        <v>0</v>
      </c>
      <c r="M224">
        <f t="shared" si="19"/>
        <v>1</v>
      </c>
    </row>
    <row r="225" spans="1:13">
      <c r="A225">
        <v>168</v>
      </c>
      <c r="B225" s="13">
        <v>41968</v>
      </c>
      <c r="C225">
        <f t="shared" si="15"/>
        <v>2014</v>
      </c>
      <c r="D225">
        <f t="shared" si="16"/>
        <v>11</v>
      </c>
      <c r="E225" t="s">
        <v>47</v>
      </c>
      <c r="F225" t="s">
        <v>116</v>
      </c>
      <c r="G225" s="14">
        <v>43105</v>
      </c>
      <c r="H225" t="s">
        <v>49</v>
      </c>
      <c r="I225" t="s">
        <v>122</v>
      </c>
      <c r="J225" t="s">
        <v>360</v>
      </c>
      <c r="K225">
        <f t="shared" si="17"/>
        <v>1</v>
      </c>
      <c r="L225">
        <f t="shared" si="18"/>
        <v>0</v>
      </c>
      <c r="M225">
        <f t="shared" si="19"/>
        <v>1</v>
      </c>
    </row>
    <row r="226" spans="1:13">
      <c r="A226">
        <v>785</v>
      </c>
      <c r="B226" s="13">
        <v>41971</v>
      </c>
      <c r="C226">
        <f t="shared" si="15"/>
        <v>2014</v>
      </c>
      <c r="D226">
        <f t="shared" si="16"/>
        <v>11</v>
      </c>
      <c r="E226" t="s">
        <v>43</v>
      </c>
      <c r="F226" t="s">
        <v>70</v>
      </c>
      <c r="G226" s="14">
        <v>74610</v>
      </c>
      <c r="H226" t="s">
        <v>40</v>
      </c>
      <c r="I226" t="s">
        <v>144</v>
      </c>
      <c r="J226" t="s">
        <v>361</v>
      </c>
      <c r="K226">
        <f t="shared" si="17"/>
        <v>1</v>
      </c>
      <c r="L226">
        <f t="shared" si="18"/>
        <v>0</v>
      </c>
      <c r="M226">
        <f t="shared" si="19"/>
        <v>1</v>
      </c>
    </row>
    <row r="227" spans="1:13">
      <c r="A227">
        <v>129</v>
      </c>
      <c r="B227" s="13">
        <v>41973</v>
      </c>
      <c r="C227">
        <f t="shared" si="15"/>
        <v>2014</v>
      </c>
      <c r="D227">
        <f t="shared" si="16"/>
        <v>11</v>
      </c>
      <c r="E227" t="s">
        <v>76</v>
      </c>
      <c r="F227" t="s">
        <v>129</v>
      </c>
      <c r="G227" s="14">
        <v>51917</v>
      </c>
      <c r="H227" t="s">
        <v>60</v>
      </c>
      <c r="I227" t="s">
        <v>61</v>
      </c>
      <c r="J227" t="s">
        <v>362</v>
      </c>
      <c r="K227">
        <f t="shared" si="17"/>
        <v>1</v>
      </c>
      <c r="L227">
        <f t="shared" si="18"/>
        <v>0</v>
      </c>
      <c r="M227">
        <f t="shared" si="19"/>
        <v>1</v>
      </c>
    </row>
    <row r="228" spans="1:13">
      <c r="A228">
        <v>227</v>
      </c>
      <c r="B228" s="13">
        <v>41973</v>
      </c>
      <c r="C228">
        <f t="shared" si="15"/>
        <v>2014</v>
      </c>
      <c r="D228">
        <f t="shared" si="16"/>
        <v>11</v>
      </c>
      <c r="E228" t="s">
        <v>43</v>
      </c>
      <c r="F228" t="s">
        <v>70</v>
      </c>
      <c r="G228" s="14">
        <v>72720</v>
      </c>
      <c r="H228" t="s">
        <v>49</v>
      </c>
      <c r="I228" t="s">
        <v>151</v>
      </c>
      <c r="J228" t="s">
        <v>363</v>
      </c>
      <c r="K228">
        <f t="shared" si="17"/>
        <v>1</v>
      </c>
      <c r="L228">
        <f t="shared" si="18"/>
        <v>0</v>
      </c>
      <c r="M228">
        <f t="shared" si="19"/>
        <v>1</v>
      </c>
    </row>
    <row r="229" spans="1:13">
      <c r="A229">
        <v>863</v>
      </c>
      <c r="B229" s="13">
        <v>41976</v>
      </c>
      <c r="C229">
        <f t="shared" si="15"/>
        <v>2014</v>
      </c>
      <c r="D229">
        <f t="shared" si="16"/>
        <v>12</v>
      </c>
      <c r="E229" t="s">
        <v>73</v>
      </c>
      <c r="F229" t="s">
        <v>119</v>
      </c>
      <c r="G229" s="14">
        <v>49128</v>
      </c>
      <c r="H229" t="s">
        <v>60</v>
      </c>
      <c r="I229" t="s">
        <v>61</v>
      </c>
      <c r="J229" t="s">
        <v>364</v>
      </c>
      <c r="K229">
        <f t="shared" si="17"/>
        <v>1</v>
      </c>
      <c r="L229">
        <f t="shared" si="18"/>
        <v>0</v>
      </c>
      <c r="M229">
        <f t="shared" si="19"/>
        <v>1</v>
      </c>
    </row>
    <row r="230" spans="1:13">
      <c r="A230">
        <v>391</v>
      </c>
      <c r="B230" s="13">
        <v>41978</v>
      </c>
      <c r="C230">
        <f t="shared" si="15"/>
        <v>2014</v>
      </c>
      <c r="D230">
        <f t="shared" si="16"/>
        <v>12</v>
      </c>
      <c r="E230" t="s">
        <v>94</v>
      </c>
      <c r="F230" t="s">
        <v>186</v>
      </c>
      <c r="G230" s="14">
        <v>42070</v>
      </c>
      <c r="H230" t="s">
        <v>53</v>
      </c>
      <c r="I230" t="s">
        <v>68</v>
      </c>
      <c r="J230" t="s">
        <v>365</v>
      </c>
      <c r="K230">
        <f t="shared" si="17"/>
        <v>1</v>
      </c>
      <c r="L230">
        <f t="shared" si="18"/>
        <v>0</v>
      </c>
      <c r="M230">
        <f t="shared" si="19"/>
        <v>1</v>
      </c>
    </row>
    <row r="231" spans="1:13">
      <c r="A231">
        <v>486</v>
      </c>
      <c r="B231" s="13">
        <v>41978</v>
      </c>
      <c r="C231">
        <f t="shared" si="15"/>
        <v>2014</v>
      </c>
      <c r="D231">
        <f t="shared" si="16"/>
        <v>12</v>
      </c>
      <c r="E231" t="s">
        <v>47</v>
      </c>
      <c r="F231" t="s">
        <v>52</v>
      </c>
      <c r="G231" s="14">
        <v>46926</v>
      </c>
      <c r="H231" t="s">
        <v>57</v>
      </c>
      <c r="I231" t="s">
        <v>106</v>
      </c>
      <c r="J231" t="s">
        <v>366</v>
      </c>
      <c r="K231">
        <f t="shared" si="17"/>
        <v>1</v>
      </c>
      <c r="L231">
        <f t="shared" si="18"/>
        <v>0</v>
      </c>
      <c r="M231">
        <f t="shared" si="19"/>
        <v>1</v>
      </c>
    </row>
    <row r="232" spans="1:13">
      <c r="A232">
        <v>281</v>
      </c>
      <c r="B232" s="13">
        <v>41979</v>
      </c>
      <c r="C232">
        <f t="shared" si="15"/>
        <v>2014</v>
      </c>
      <c r="D232">
        <f t="shared" si="16"/>
        <v>12</v>
      </c>
      <c r="E232" t="s">
        <v>47</v>
      </c>
      <c r="F232" t="s">
        <v>52</v>
      </c>
      <c r="G232" s="14">
        <v>72073</v>
      </c>
      <c r="H232" t="s">
        <v>49</v>
      </c>
      <c r="I232" t="s">
        <v>103</v>
      </c>
      <c r="J232" t="s">
        <v>367</v>
      </c>
      <c r="K232">
        <f t="shared" si="17"/>
        <v>1</v>
      </c>
      <c r="L232">
        <f t="shared" si="18"/>
        <v>0</v>
      </c>
      <c r="M232">
        <f t="shared" si="19"/>
        <v>1</v>
      </c>
    </row>
    <row r="233" spans="1:13">
      <c r="A233">
        <v>928</v>
      </c>
      <c r="B233" s="13">
        <v>41980</v>
      </c>
      <c r="C233">
        <f t="shared" si="15"/>
        <v>2014</v>
      </c>
      <c r="D233">
        <f t="shared" si="16"/>
        <v>12</v>
      </c>
      <c r="E233" t="s">
        <v>76</v>
      </c>
      <c r="F233" t="s">
        <v>138</v>
      </c>
      <c r="G233" s="14">
        <v>79866</v>
      </c>
      <c r="H233" t="s">
        <v>81</v>
      </c>
      <c r="I233" t="s">
        <v>108</v>
      </c>
      <c r="J233" t="s">
        <v>368</v>
      </c>
      <c r="K233">
        <f t="shared" si="17"/>
        <v>1</v>
      </c>
      <c r="L233">
        <f t="shared" si="18"/>
        <v>0</v>
      </c>
      <c r="M233">
        <f t="shared" si="19"/>
        <v>1</v>
      </c>
    </row>
    <row r="234" spans="1:13">
      <c r="A234">
        <v>425</v>
      </c>
      <c r="B234" s="13">
        <v>41981</v>
      </c>
      <c r="C234">
        <f t="shared" si="15"/>
        <v>2014</v>
      </c>
      <c r="D234">
        <f t="shared" si="16"/>
        <v>12</v>
      </c>
      <c r="E234" t="s">
        <v>76</v>
      </c>
      <c r="F234" t="s">
        <v>138</v>
      </c>
      <c r="G234" s="14">
        <v>55390</v>
      </c>
      <c r="H234" t="s">
        <v>57</v>
      </c>
      <c r="I234" t="s">
        <v>160</v>
      </c>
      <c r="J234" t="s">
        <v>369</v>
      </c>
      <c r="K234">
        <f t="shared" si="17"/>
        <v>1</v>
      </c>
      <c r="L234">
        <f t="shared" si="18"/>
        <v>0</v>
      </c>
      <c r="M234">
        <f t="shared" si="19"/>
        <v>1</v>
      </c>
    </row>
    <row r="235" spans="1:13">
      <c r="A235">
        <v>624</v>
      </c>
      <c r="B235" s="13">
        <v>41982</v>
      </c>
      <c r="C235">
        <f t="shared" si="15"/>
        <v>2014</v>
      </c>
      <c r="D235">
        <f t="shared" si="16"/>
        <v>12</v>
      </c>
      <c r="E235" t="s">
        <v>43</v>
      </c>
      <c r="F235" t="s">
        <v>134</v>
      </c>
      <c r="G235" s="14">
        <v>63609</v>
      </c>
      <c r="H235" t="s">
        <v>60</v>
      </c>
      <c r="I235" t="s">
        <v>61</v>
      </c>
      <c r="J235" t="s">
        <v>370</v>
      </c>
      <c r="K235">
        <f t="shared" si="17"/>
        <v>1</v>
      </c>
      <c r="L235">
        <f t="shared" si="18"/>
        <v>0</v>
      </c>
      <c r="M235">
        <f t="shared" si="19"/>
        <v>1</v>
      </c>
    </row>
    <row r="236" spans="1:13">
      <c r="A236">
        <v>746</v>
      </c>
      <c r="B236" s="13">
        <v>41982</v>
      </c>
      <c r="C236">
        <f t="shared" si="15"/>
        <v>2014</v>
      </c>
      <c r="D236">
        <f t="shared" si="16"/>
        <v>12</v>
      </c>
      <c r="E236" t="s">
        <v>47</v>
      </c>
      <c r="F236" t="s">
        <v>182</v>
      </c>
      <c r="G236" s="14">
        <v>59514</v>
      </c>
      <c r="H236" t="s">
        <v>53</v>
      </c>
      <c r="I236" t="s">
        <v>92</v>
      </c>
      <c r="J236" t="s">
        <v>371</v>
      </c>
      <c r="K236">
        <f t="shared" si="17"/>
        <v>1</v>
      </c>
      <c r="L236">
        <f t="shared" si="18"/>
        <v>0</v>
      </c>
      <c r="M236">
        <f t="shared" si="19"/>
        <v>1</v>
      </c>
    </row>
    <row r="237" spans="1:13">
      <c r="A237">
        <v>443</v>
      </c>
      <c r="B237" s="13">
        <v>41984</v>
      </c>
      <c r="C237">
        <f t="shared" si="15"/>
        <v>2014</v>
      </c>
      <c r="D237">
        <f t="shared" si="16"/>
        <v>12</v>
      </c>
      <c r="E237" t="s">
        <v>63</v>
      </c>
      <c r="F237" t="s">
        <v>64</v>
      </c>
      <c r="G237" s="14">
        <v>63629</v>
      </c>
      <c r="H237" t="s">
        <v>40</v>
      </c>
      <c r="I237" t="s">
        <v>291</v>
      </c>
      <c r="J237" t="s">
        <v>372</v>
      </c>
      <c r="K237">
        <f t="shared" si="17"/>
        <v>1</v>
      </c>
      <c r="L237">
        <f t="shared" si="18"/>
        <v>0</v>
      </c>
      <c r="M237">
        <f t="shared" si="19"/>
        <v>1</v>
      </c>
    </row>
    <row r="238" spans="1:13">
      <c r="A238">
        <v>451</v>
      </c>
      <c r="B238" s="13">
        <v>41984</v>
      </c>
      <c r="C238">
        <f t="shared" si="15"/>
        <v>2014</v>
      </c>
      <c r="D238">
        <f t="shared" si="16"/>
        <v>12</v>
      </c>
      <c r="E238" t="s">
        <v>47</v>
      </c>
      <c r="F238" t="s">
        <v>132</v>
      </c>
      <c r="G238" s="14">
        <v>79644</v>
      </c>
      <c r="H238" t="s">
        <v>49</v>
      </c>
      <c r="I238" t="s">
        <v>122</v>
      </c>
      <c r="J238" t="s">
        <v>373</v>
      </c>
      <c r="K238">
        <f t="shared" si="17"/>
        <v>1</v>
      </c>
      <c r="L238">
        <f t="shared" si="18"/>
        <v>0</v>
      </c>
      <c r="M238">
        <f t="shared" si="19"/>
        <v>1</v>
      </c>
    </row>
    <row r="239" spans="1:13">
      <c r="A239">
        <v>825</v>
      </c>
      <c r="B239" s="13">
        <v>41984</v>
      </c>
      <c r="C239">
        <f t="shared" si="15"/>
        <v>2014</v>
      </c>
      <c r="D239">
        <f t="shared" si="16"/>
        <v>12</v>
      </c>
      <c r="E239" t="s">
        <v>43</v>
      </c>
      <c r="F239" t="s">
        <v>44</v>
      </c>
      <c r="G239" s="14">
        <v>67988</v>
      </c>
      <c r="H239" t="s">
        <v>40</v>
      </c>
      <c r="I239" t="s">
        <v>144</v>
      </c>
      <c r="J239" t="s">
        <v>374</v>
      </c>
      <c r="K239">
        <f t="shared" si="17"/>
        <v>1</v>
      </c>
      <c r="L239">
        <f t="shared" si="18"/>
        <v>0</v>
      </c>
      <c r="M239">
        <f t="shared" si="19"/>
        <v>1</v>
      </c>
    </row>
    <row r="240" spans="1:13">
      <c r="A240">
        <v>245</v>
      </c>
      <c r="B240" s="13">
        <v>41985</v>
      </c>
      <c r="C240">
        <f t="shared" si="15"/>
        <v>2014</v>
      </c>
      <c r="D240">
        <f t="shared" si="16"/>
        <v>12</v>
      </c>
      <c r="E240" t="s">
        <v>43</v>
      </c>
      <c r="F240" t="s">
        <v>251</v>
      </c>
      <c r="G240" s="14">
        <v>49598</v>
      </c>
      <c r="H240" t="s">
        <v>60</v>
      </c>
      <c r="I240" t="s">
        <v>114</v>
      </c>
      <c r="J240" t="s">
        <v>375</v>
      </c>
      <c r="K240">
        <f t="shared" si="17"/>
        <v>1</v>
      </c>
      <c r="L240">
        <f t="shared" si="18"/>
        <v>0</v>
      </c>
      <c r="M240">
        <f t="shared" si="19"/>
        <v>1</v>
      </c>
    </row>
    <row r="241" spans="1:13">
      <c r="A241">
        <v>7</v>
      </c>
      <c r="B241" s="13">
        <v>41987</v>
      </c>
      <c r="C241">
        <f t="shared" si="15"/>
        <v>2014</v>
      </c>
      <c r="D241">
        <f t="shared" si="16"/>
        <v>12</v>
      </c>
      <c r="E241" t="s">
        <v>73</v>
      </c>
      <c r="F241" t="s">
        <v>74</v>
      </c>
      <c r="G241" s="14">
        <v>60114</v>
      </c>
      <c r="H241" t="s">
        <v>57</v>
      </c>
      <c r="I241" t="s">
        <v>106</v>
      </c>
      <c r="J241" t="s">
        <v>376</v>
      </c>
      <c r="K241">
        <f t="shared" si="17"/>
        <v>1</v>
      </c>
      <c r="L241">
        <f t="shared" si="18"/>
        <v>0</v>
      </c>
      <c r="M241">
        <f t="shared" si="19"/>
        <v>1</v>
      </c>
    </row>
    <row r="242" spans="1:13">
      <c r="A242">
        <v>38</v>
      </c>
      <c r="B242" s="13">
        <v>41990</v>
      </c>
      <c r="C242">
        <f t="shared" si="15"/>
        <v>2014</v>
      </c>
      <c r="D242">
        <f t="shared" si="16"/>
        <v>12</v>
      </c>
      <c r="E242" t="s">
        <v>73</v>
      </c>
      <c r="F242" t="s">
        <v>102</v>
      </c>
      <c r="G242" s="14">
        <v>60604</v>
      </c>
      <c r="H242" t="s">
        <v>49</v>
      </c>
      <c r="I242" t="s">
        <v>103</v>
      </c>
      <c r="J242" t="s">
        <v>377</v>
      </c>
      <c r="K242">
        <f t="shared" si="17"/>
        <v>1</v>
      </c>
      <c r="L242">
        <f t="shared" si="18"/>
        <v>0</v>
      </c>
      <c r="M242">
        <f t="shared" si="19"/>
        <v>1</v>
      </c>
    </row>
    <row r="243" spans="1:13">
      <c r="A243">
        <v>232</v>
      </c>
      <c r="B243" s="13">
        <v>41990</v>
      </c>
      <c r="C243">
        <f t="shared" si="15"/>
        <v>2014</v>
      </c>
      <c r="D243">
        <f t="shared" si="16"/>
        <v>12</v>
      </c>
      <c r="E243" t="s">
        <v>47</v>
      </c>
      <c r="F243" t="s">
        <v>132</v>
      </c>
      <c r="G243" s="14">
        <v>59432</v>
      </c>
      <c r="H243" t="s">
        <v>49</v>
      </c>
      <c r="I243" t="s">
        <v>96</v>
      </c>
      <c r="J243" t="s">
        <v>378</v>
      </c>
      <c r="K243">
        <f t="shared" si="17"/>
        <v>1</v>
      </c>
      <c r="L243">
        <f t="shared" si="18"/>
        <v>0</v>
      </c>
      <c r="M243">
        <f t="shared" si="19"/>
        <v>1</v>
      </c>
    </row>
    <row r="244" spans="1:13">
      <c r="A244">
        <v>887</v>
      </c>
      <c r="B244" s="13">
        <v>41997</v>
      </c>
      <c r="C244">
        <f t="shared" si="15"/>
        <v>2014</v>
      </c>
      <c r="D244">
        <f t="shared" si="16"/>
        <v>12</v>
      </c>
      <c r="E244" t="s">
        <v>73</v>
      </c>
      <c r="F244" t="s">
        <v>150</v>
      </c>
      <c r="G244" s="14">
        <v>77464</v>
      </c>
      <c r="H244" t="s">
        <v>60</v>
      </c>
      <c r="I244" t="s">
        <v>199</v>
      </c>
      <c r="J244" t="s">
        <v>379</v>
      </c>
      <c r="K244">
        <f t="shared" si="17"/>
        <v>1</v>
      </c>
      <c r="L244">
        <f t="shared" si="18"/>
        <v>0</v>
      </c>
      <c r="M244">
        <f t="shared" si="19"/>
        <v>1</v>
      </c>
    </row>
    <row r="245" spans="1:13">
      <c r="A245">
        <v>535</v>
      </c>
      <c r="B245" s="13">
        <v>42006</v>
      </c>
      <c r="C245">
        <f t="shared" si="15"/>
        <v>2015</v>
      </c>
      <c r="D245">
        <f t="shared" si="16"/>
        <v>1</v>
      </c>
      <c r="E245" t="s">
        <v>43</v>
      </c>
      <c r="F245" t="s">
        <v>380</v>
      </c>
      <c r="G245" s="14">
        <v>46242</v>
      </c>
      <c r="H245" t="s">
        <v>53</v>
      </c>
      <c r="I245" t="s">
        <v>78</v>
      </c>
      <c r="J245" t="s">
        <v>381</v>
      </c>
      <c r="K245">
        <f t="shared" si="17"/>
        <v>1</v>
      </c>
      <c r="L245">
        <f t="shared" si="18"/>
        <v>0</v>
      </c>
      <c r="M245">
        <f t="shared" si="19"/>
        <v>1</v>
      </c>
    </row>
    <row r="246" spans="1:13">
      <c r="A246">
        <v>172</v>
      </c>
      <c r="B246" s="13">
        <v>42008</v>
      </c>
      <c r="C246">
        <f t="shared" si="15"/>
        <v>2015</v>
      </c>
      <c r="D246">
        <f t="shared" si="16"/>
        <v>1</v>
      </c>
      <c r="E246" t="s">
        <v>43</v>
      </c>
      <c r="F246" t="s">
        <v>134</v>
      </c>
      <c r="G246" s="14">
        <v>66523</v>
      </c>
      <c r="H246" t="s">
        <v>53</v>
      </c>
      <c r="I246" t="s">
        <v>92</v>
      </c>
      <c r="J246" t="s">
        <v>382</v>
      </c>
      <c r="K246">
        <f t="shared" si="17"/>
        <v>1</v>
      </c>
      <c r="L246">
        <f t="shared" si="18"/>
        <v>0</v>
      </c>
      <c r="M246">
        <f t="shared" si="19"/>
        <v>1</v>
      </c>
    </row>
    <row r="247" spans="1:13">
      <c r="A247">
        <v>907</v>
      </c>
      <c r="B247" s="13">
        <v>42008</v>
      </c>
      <c r="C247">
        <f t="shared" si="15"/>
        <v>2015</v>
      </c>
      <c r="D247">
        <f t="shared" si="16"/>
        <v>1</v>
      </c>
      <c r="E247" t="s">
        <v>76</v>
      </c>
      <c r="F247" t="s">
        <v>110</v>
      </c>
      <c r="G247" s="14">
        <v>76756</v>
      </c>
      <c r="H247" t="s">
        <v>60</v>
      </c>
      <c r="I247" t="s">
        <v>71</v>
      </c>
      <c r="J247" t="s">
        <v>383</v>
      </c>
      <c r="K247">
        <f t="shared" si="17"/>
        <v>1</v>
      </c>
      <c r="L247">
        <f t="shared" si="18"/>
        <v>0</v>
      </c>
      <c r="M247">
        <f t="shared" si="19"/>
        <v>1</v>
      </c>
    </row>
    <row r="248" spans="1:13">
      <c r="A248">
        <v>152</v>
      </c>
      <c r="B248" s="13">
        <v>42009</v>
      </c>
      <c r="C248">
        <f t="shared" si="15"/>
        <v>2015</v>
      </c>
      <c r="D248">
        <f t="shared" si="16"/>
        <v>1</v>
      </c>
      <c r="E248" t="s">
        <v>43</v>
      </c>
      <c r="F248" t="s">
        <v>67</v>
      </c>
      <c r="G248" s="14">
        <v>60885</v>
      </c>
      <c r="H248" t="s">
        <v>57</v>
      </c>
      <c r="I248" t="s">
        <v>65</v>
      </c>
      <c r="J248" t="s">
        <v>384</v>
      </c>
      <c r="K248">
        <f t="shared" si="17"/>
        <v>1</v>
      </c>
      <c r="L248">
        <f t="shared" si="18"/>
        <v>0</v>
      </c>
      <c r="M248">
        <f t="shared" si="19"/>
        <v>1</v>
      </c>
    </row>
    <row r="249" spans="1:13">
      <c r="A249">
        <v>685</v>
      </c>
      <c r="B249" s="13">
        <v>42014</v>
      </c>
      <c r="C249">
        <f t="shared" si="15"/>
        <v>2015</v>
      </c>
      <c r="D249">
        <f t="shared" si="16"/>
        <v>1</v>
      </c>
      <c r="E249" t="s">
        <v>76</v>
      </c>
      <c r="F249" t="s">
        <v>207</v>
      </c>
      <c r="G249" s="14">
        <v>60782</v>
      </c>
      <c r="H249" t="s">
        <v>40</v>
      </c>
      <c r="I249" t="s">
        <v>41</v>
      </c>
      <c r="J249" t="s">
        <v>385</v>
      </c>
      <c r="K249">
        <f t="shared" si="17"/>
        <v>1</v>
      </c>
      <c r="L249">
        <f t="shared" si="18"/>
        <v>0</v>
      </c>
      <c r="M249">
        <f t="shared" si="19"/>
        <v>1</v>
      </c>
    </row>
    <row r="250" spans="1:13">
      <c r="A250">
        <v>355</v>
      </c>
      <c r="B250" s="13">
        <v>42023</v>
      </c>
      <c r="C250">
        <f t="shared" si="15"/>
        <v>2015</v>
      </c>
      <c r="D250">
        <f t="shared" si="16"/>
        <v>1</v>
      </c>
      <c r="E250" t="s">
        <v>76</v>
      </c>
      <c r="F250" t="s">
        <v>110</v>
      </c>
      <c r="G250" s="14">
        <v>49555</v>
      </c>
      <c r="H250" t="s">
        <v>81</v>
      </c>
      <c r="I250" t="s">
        <v>190</v>
      </c>
      <c r="J250" t="s">
        <v>386</v>
      </c>
      <c r="K250">
        <f t="shared" si="17"/>
        <v>1</v>
      </c>
      <c r="L250">
        <f t="shared" si="18"/>
        <v>0</v>
      </c>
      <c r="M250">
        <f t="shared" si="19"/>
        <v>1</v>
      </c>
    </row>
    <row r="251" spans="1:13">
      <c r="A251">
        <v>599</v>
      </c>
      <c r="B251" s="13">
        <v>42023</v>
      </c>
      <c r="C251">
        <f t="shared" si="15"/>
        <v>2015</v>
      </c>
      <c r="D251">
        <f t="shared" si="16"/>
        <v>1</v>
      </c>
      <c r="E251" t="s">
        <v>43</v>
      </c>
      <c r="F251" t="s">
        <v>197</v>
      </c>
      <c r="G251" s="14">
        <v>51637</v>
      </c>
      <c r="H251" t="s">
        <v>40</v>
      </c>
      <c r="I251" t="s">
        <v>88</v>
      </c>
      <c r="J251" t="s">
        <v>387</v>
      </c>
      <c r="K251">
        <f t="shared" si="17"/>
        <v>1</v>
      </c>
      <c r="L251">
        <f t="shared" si="18"/>
        <v>0</v>
      </c>
      <c r="M251">
        <f t="shared" si="19"/>
        <v>1</v>
      </c>
    </row>
    <row r="252" spans="1:13">
      <c r="A252">
        <v>650</v>
      </c>
      <c r="B252" s="13">
        <v>42028</v>
      </c>
      <c r="C252">
        <f t="shared" si="15"/>
        <v>2015</v>
      </c>
      <c r="D252">
        <f t="shared" si="16"/>
        <v>1</v>
      </c>
      <c r="E252" t="s">
        <v>76</v>
      </c>
      <c r="F252" t="s">
        <v>138</v>
      </c>
      <c r="G252" s="14">
        <v>55960</v>
      </c>
      <c r="H252" t="s">
        <v>49</v>
      </c>
      <c r="I252" t="s">
        <v>151</v>
      </c>
      <c r="J252" t="s">
        <v>388</v>
      </c>
      <c r="K252">
        <f t="shared" si="17"/>
        <v>1</v>
      </c>
      <c r="L252">
        <f t="shared" si="18"/>
        <v>0</v>
      </c>
      <c r="M252">
        <f t="shared" si="19"/>
        <v>1</v>
      </c>
    </row>
    <row r="253" spans="1:13">
      <c r="A253">
        <v>918</v>
      </c>
      <c r="B253" s="13">
        <v>42028</v>
      </c>
      <c r="C253">
        <f t="shared" si="15"/>
        <v>2015</v>
      </c>
      <c r="D253">
        <f t="shared" si="16"/>
        <v>1</v>
      </c>
      <c r="E253" t="s">
        <v>38</v>
      </c>
      <c r="F253" t="s">
        <v>112</v>
      </c>
      <c r="G253" s="14">
        <v>55048</v>
      </c>
      <c r="H253" t="s">
        <v>49</v>
      </c>
      <c r="I253" t="s">
        <v>96</v>
      </c>
      <c r="J253" t="s">
        <v>389</v>
      </c>
      <c r="K253">
        <f t="shared" si="17"/>
        <v>1</v>
      </c>
      <c r="L253">
        <f t="shared" si="18"/>
        <v>0</v>
      </c>
      <c r="M253">
        <f t="shared" si="19"/>
        <v>1</v>
      </c>
    </row>
    <row r="254" spans="1:13">
      <c r="A254">
        <v>279</v>
      </c>
      <c r="B254" s="13">
        <v>42030</v>
      </c>
      <c r="C254">
        <f t="shared" si="15"/>
        <v>2015</v>
      </c>
      <c r="D254">
        <f t="shared" si="16"/>
        <v>1</v>
      </c>
      <c r="E254" t="s">
        <v>73</v>
      </c>
      <c r="F254" t="s">
        <v>74</v>
      </c>
      <c r="G254" s="14">
        <v>60813</v>
      </c>
      <c r="H254" t="s">
        <v>49</v>
      </c>
      <c r="I254" t="s">
        <v>96</v>
      </c>
      <c r="J254" t="s">
        <v>390</v>
      </c>
      <c r="K254">
        <f t="shared" si="17"/>
        <v>1</v>
      </c>
      <c r="L254">
        <f t="shared" si="18"/>
        <v>0</v>
      </c>
      <c r="M254">
        <f t="shared" si="19"/>
        <v>1</v>
      </c>
    </row>
    <row r="255" spans="1:13">
      <c r="A255">
        <v>906</v>
      </c>
      <c r="B255" s="13">
        <v>42030</v>
      </c>
      <c r="C255">
        <f t="shared" si="15"/>
        <v>2015</v>
      </c>
      <c r="D255">
        <f t="shared" si="16"/>
        <v>1</v>
      </c>
      <c r="E255" t="s">
        <v>38</v>
      </c>
      <c r="F255" t="s">
        <v>236</v>
      </c>
      <c r="G255" s="14">
        <v>76345</v>
      </c>
      <c r="H255" t="s">
        <v>57</v>
      </c>
      <c r="I255" t="s">
        <v>160</v>
      </c>
      <c r="J255" t="s">
        <v>391</v>
      </c>
      <c r="K255">
        <f t="shared" si="17"/>
        <v>1</v>
      </c>
      <c r="L255">
        <f t="shared" si="18"/>
        <v>0</v>
      </c>
      <c r="M255">
        <f t="shared" si="19"/>
        <v>1</v>
      </c>
    </row>
    <row r="256" spans="1:13">
      <c r="A256">
        <v>65</v>
      </c>
      <c r="B256" s="13">
        <v>42031</v>
      </c>
      <c r="C256">
        <f t="shared" si="15"/>
        <v>2015</v>
      </c>
      <c r="D256">
        <f t="shared" si="16"/>
        <v>1</v>
      </c>
      <c r="E256" t="s">
        <v>43</v>
      </c>
      <c r="F256" t="s">
        <v>251</v>
      </c>
      <c r="G256" s="14">
        <v>71129</v>
      </c>
      <c r="H256" t="s">
        <v>40</v>
      </c>
      <c r="I256" t="s">
        <v>98</v>
      </c>
      <c r="J256" t="s">
        <v>392</v>
      </c>
      <c r="K256">
        <f t="shared" si="17"/>
        <v>1</v>
      </c>
      <c r="L256">
        <f t="shared" si="18"/>
        <v>0</v>
      </c>
      <c r="M256">
        <f t="shared" si="19"/>
        <v>1</v>
      </c>
    </row>
    <row r="257" spans="1:13">
      <c r="A257">
        <v>902</v>
      </c>
      <c r="B257" s="13">
        <v>42031</v>
      </c>
      <c r="C257">
        <f t="shared" si="15"/>
        <v>2015</v>
      </c>
      <c r="D257">
        <f t="shared" si="16"/>
        <v>1</v>
      </c>
      <c r="E257" t="s">
        <v>43</v>
      </c>
      <c r="F257" t="s">
        <v>67</v>
      </c>
      <c r="G257" s="14">
        <v>65491</v>
      </c>
      <c r="H257" t="s">
        <v>60</v>
      </c>
      <c r="I257" t="s">
        <v>71</v>
      </c>
      <c r="J257" t="s">
        <v>393</v>
      </c>
      <c r="K257">
        <f t="shared" si="17"/>
        <v>1</v>
      </c>
      <c r="L257">
        <f t="shared" si="18"/>
        <v>0</v>
      </c>
      <c r="M257">
        <f t="shared" si="19"/>
        <v>1</v>
      </c>
    </row>
    <row r="258" spans="1:13">
      <c r="A258">
        <v>844</v>
      </c>
      <c r="B258" s="13">
        <v>42037</v>
      </c>
      <c r="C258">
        <f t="shared" ref="C258:C321" si="20">YEAR(B258)</f>
        <v>2015</v>
      </c>
      <c r="D258">
        <f t="shared" ref="D258:D321" si="21">MONTH(B258)</f>
        <v>2</v>
      </c>
      <c r="E258" t="s">
        <v>73</v>
      </c>
      <c r="F258" t="s">
        <v>150</v>
      </c>
      <c r="G258" s="14">
        <v>78415</v>
      </c>
      <c r="H258" t="s">
        <v>60</v>
      </c>
      <c r="I258" t="s">
        <v>188</v>
      </c>
      <c r="J258" t="s">
        <v>394</v>
      </c>
      <c r="K258">
        <f t="shared" ref="K258:K321" si="22">IF(AND(OR(sel_ano="Todos",C258=sel_ano),OR(sel_pais="Todos",H258=sel_pais),OR(sel_marca="Todas",E258=sel_marca)),1,0)</f>
        <v>1</v>
      </c>
      <c r="L258">
        <f t="shared" ref="L258:L321" si="23">IF(sel_ano="Todos",0,IF(AND(C258=sel_ano-1,OR(sel_pais="Todos",H258=sel_pais),OR(sel_marca="Todas",E258=sel_marca)),1,0))</f>
        <v>0</v>
      </c>
      <c r="M258">
        <f t="shared" ref="M258:M321" si="24">IF(AND(OR(sel_pais="Todos",H258=sel_pais),OR(sel_marca="Todas",E258=sel_marca)),1,0)</f>
        <v>1</v>
      </c>
    </row>
    <row r="259" spans="1:13">
      <c r="A259">
        <v>773</v>
      </c>
      <c r="B259" s="13">
        <v>42040</v>
      </c>
      <c r="C259">
        <f t="shared" si="20"/>
        <v>2015</v>
      </c>
      <c r="D259">
        <f t="shared" si="21"/>
        <v>2</v>
      </c>
      <c r="E259" t="s">
        <v>76</v>
      </c>
      <c r="F259" t="s">
        <v>77</v>
      </c>
      <c r="G259" s="14">
        <v>66726</v>
      </c>
      <c r="H259" t="s">
        <v>57</v>
      </c>
      <c r="I259" t="s">
        <v>106</v>
      </c>
      <c r="J259" t="s">
        <v>395</v>
      </c>
      <c r="K259">
        <f t="shared" si="22"/>
        <v>1</v>
      </c>
      <c r="L259">
        <f t="shared" si="23"/>
        <v>0</v>
      </c>
      <c r="M259">
        <f t="shared" si="24"/>
        <v>1</v>
      </c>
    </row>
    <row r="260" spans="1:13">
      <c r="A260">
        <v>706</v>
      </c>
      <c r="B260" s="13">
        <v>42041</v>
      </c>
      <c r="C260">
        <f t="shared" si="20"/>
        <v>2015</v>
      </c>
      <c r="D260">
        <f t="shared" si="21"/>
        <v>2</v>
      </c>
      <c r="E260" t="s">
        <v>94</v>
      </c>
      <c r="F260" t="s">
        <v>192</v>
      </c>
      <c r="G260" s="14">
        <v>71913</v>
      </c>
      <c r="H260" t="s">
        <v>81</v>
      </c>
      <c r="I260" t="s">
        <v>82</v>
      </c>
      <c r="J260" t="s">
        <v>396</v>
      </c>
      <c r="K260">
        <f t="shared" si="22"/>
        <v>1</v>
      </c>
      <c r="L260">
        <f t="shared" si="23"/>
        <v>0</v>
      </c>
      <c r="M260">
        <f t="shared" si="24"/>
        <v>1</v>
      </c>
    </row>
    <row r="261" spans="1:13">
      <c r="A261">
        <v>31</v>
      </c>
      <c r="B261" s="13">
        <v>42042</v>
      </c>
      <c r="C261">
        <f t="shared" si="20"/>
        <v>2015</v>
      </c>
      <c r="D261">
        <f t="shared" si="21"/>
        <v>2</v>
      </c>
      <c r="E261" t="s">
        <v>47</v>
      </c>
      <c r="F261" t="s">
        <v>132</v>
      </c>
      <c r="G261" s="14">
        <v>59367</v>
      </c>
      <c r="H261" t="s">
        <v>60</v>
      </c>
      <c r="I261" t="s">
        <v>188</v>
      </c>
      <c r="J261" t="s">
        <v>397</v>
      </c>
      <c r="K261">
        <f t="shared" si="22"/>
        <v>1</v>
      </c>
      <c r="L261">
        <f t="shared" si="23"/>
        <v>0</v>
      </c>
      <c r="M261">
        <f t="shared" si="24"/>
        <v>1</v>
      </c>
    </row>
    <row r="262" spans="1:13">
      <c r="A262">
        <v>179</v>
      </c>
      <c r="B262" s="13">
        <v>42045</v>
      </c>
      <c r="C262">
        <f t="shared" si="20"/>
        <v>2015</v>
      </c>
      <c r="D262">
        <f t="shared" si="21"/>
        <v>2</v>
      </c>
      <c r="E262" t="s">
        <v>47</v>
      </c>
      <c r="F262" t="s">
        <v>155</v>
      </c>
      <c r="G262" s="14">
        <v>58090</v>
      </c>
      <c r="H262" t="s">
        <v>57</v>
      </c>
      <c r="I262" t="s">
        <v>58</v>
      </c>
      <c r="J262" t="s">
        <v>398</v>
      </c>
      <c r="K262">
        <f t="shared" si="22"/>
        <v>1</v>
      </c>
      <c r="L262">
        <f t="shared" si="23"/>
        <v>0</v>
      </c>
      <c r="M262">
        <f t="shared" si="24"/>
        <v>1</v>
      </c>
    </row>
    <row r="263" spans="1:13">
      <c r="A263">
        <v>297</v>
      </c>
      <c r="B263" s="13">
        <v>42045</v>
      </c>
      <c r="C263">
        <f t="shared" si="20"/>
        <v>2015</v>
      </c>
      <c r="D263">
        <f t="shared" si="21"/>
        <v>2</v>
      </c>
      <c r="E263" t="s">
        <v>47</v>
      </c>
      <c r="F263" t="s">
        <v>48</v>
      </c>
      <c r="G263" s="14">
        <v>45231</v>
      </c>
      <c r="H263" t="s">
        <v>57</v>
      </c>
      <c r="I263" t="s">
        <v>231</v>
      </c>
      <c r="J263" t="s">
        <v>399</v>
      </c>
      <c r="K263">
        <f t="shared" si="22"/>
        <v>1</v>
      </c>
      <c r="L263">
        <f t="shared" si="23"/>
        <v>0</v>
      </c>
      <c r="M263">
        <f t="shared" si="24"/>
        <v>1</v>
      </c>
    </row>
    <row r="264" spans="1:13">
      <c r="A264">
        <v>333</v>
      </c>
      <c r="B264" s="13">
        <v>42045</v>
      </c>
      <c r="C264">
        <f t="shared" si="20"/>
        <v>2015</v>
      </c>
      <c r="D264">
        <f t="shared" si="21"/>
        <v>2</v>
      </c>
      <c r="E264" t="s">
        <v>76</v>
      </c>
      <c r="F264" t="s">
        <v>129</v>
      </c>
      <c r="G264" s="14">
        <v>69734</v>
      </c>
      <c r="H264" t="s">
        <v>40</v>
      </c>
      <c r="I264" t="s">
        <v>144</v>
      </c>
      <c r="J264" t="s">
        <v>400</v>
      </c>
      <c r="K264">
        <f t="shared" si="22"/>
        <v>1</v>
      </c>
      <c r="L264">
        <f t="shared" si="23"/>
        <v>0</v>
      </c>
      <c r="M264">
        <f t="shared" si="24"/>
        <v>1</v>
      </c>
    </row>
    <row r="265" spans="1:13">
      <c r="A265">
        <v>828</v>
      </c>
      <c r="B265" s="13">
        <v>42048</v>
      </c>
      <c r="C265">
        <f t="shared" si="20"/>
        <v>2015</v>
      </c>
      <c r="D265">
        <f t="shared" si="21"/>
        <v>2</v>
      </c>
      <c r="E265" t="s">
        <v>38</v>
      </c>
      <c r="F265" t="s">
        <v>126</v>
      </c>
      <c r="G265" s="14">
        <v>56986</v>
      </c>
      <c r="H265" t="s">
        <v>81</v>
      </c>
      <c r="I265" t="s">
        <v>108</v>
      </c>
      <c r="J265" t="s">
        <v>401</v>
      </c>
      <c r="K265">
        <f t="shared" si="22"/>
        <v>1</v>
      </c>
      <c r="L265">
        <f t="shared" si="23"/>
        <v>0</v>
      </c>
      <c r="M265">
        <f t="shared" si="24"/>
        <v>1</v>
      </c>
    </row>
    <row r="266" spans="1:13">
      <c r="A266">
        <v>214</v>
      </c>
      <c r="B266" s="13">
        <v>42050</v>
      </c>
      <c r="C266">
        <f t="shared" si="20"/>
        <v>2015</v>
      </c>
      <c r="D266">
        <f t="shared" si="21"/>
        <v>2</v>
      </c>
      <c r="E266" t="s">
        <v>73</v>
      </c>
      <c r="F266" t="s">
        <v>102</v>
      </c>
      <c r="G266" s="14">
        <v>68458</v>
      </c>
      <c r="H266" t="s">
        <v>60</v>
      </c>
      <c r="I266" t="s">
        <v>61</v>
      </c>
      <c r="J266" t="s">
        <v>402</v>
      </c>
      <c r="K266">
        <f t="shared" si="22"/>
        <v>1</v>
      </c>
      <c r="L266">
        <f t="shared" si="23"/>
        <v>0</v>
      </c>
      <c r="M266">
        <f t="shared" si="24"/>
        <v>1</v>
      </c>
    </row>
    <row r="267" spans="1:13">
      <c r="A267">
        <v>639</v>
      </c>
      <c r="B267" s="13">
        <v>42057</v>
      </c>
      <c r="C267">
        <f t="shared" si="20"/>
        <v>2015</v>
      </c>
      <c r="D267">
        <f t="shared" si="21"/>
        <v>2</v>
      </c>
      <c r="E267" t="s">
        <v>38</v>
      </c>
      <c r="F267" t="s">
        <v>56</v>
      </c>
      <c r="G267" s="14">
        <v>46170</v>
      </c>
      <c r="H267" t="s">
        <v>40</v>
      </c>
      <c r="I267" t="s">
        <v>45</v>
      </c>
      <c r="J267" t="s">
        <v>403</v>
      </c>
      <c r="K267">
        <f t="shared" si="22"/>
        <v>1</v>
      </c>
      <c r="L267">
        <f t="shared" si="23"/>
        <v>0</v>
      </c>
      <c r="M267">
        <f t="shared" si="24"/>
        <v>1</v>
      </c>
    </row>
    <row r="268" spans="1:13">
      <c r="A268">
        <v>78</v>
      </c>
      <c r="B268" s="13">
        <v>42059</v>
      </c>
      <c r="C268">
        <f t="shared" si="20"/>
        <v>2015</v>
      </c>
      <c r="D268">
        <f t="shared" si="21"/>
        <v>2</v>
      </c>
      <c r="E268" t="s">
        <v>63</v>
      </c>
      <c r="F268" t="s">
        <v>64</v>
      </c>
      <c r="G268" s="14">
        <v>56668</v>
      </c>
      <c r="H268" t="s">
        <v>40</v>
      </c>
      <c r="I268" t="s">
        <v>180</v>
      </c>
      <c r="J268" t="s">
        <v>404</v>
      </c>
      <c r="K268">
        <f t="shared" si="22"/>
        <v>1</v>
      </c>
      <c r="L268">
        <f t="shared" si="23"/>
        <v>0</v>
      </c>
      <c r="M268">
        <f t="shared" si="24"/>
        <v>1</v>
      </c>
    </row>
    <row r="269" spans="1:13">
      <c r="A269">
        <v>74</v>
      </c>
      <c r="B269" s="13">
        <v>42067</v>
      </c>
      <c r="C269">
        <f t="shared" si="20"/>
        <v>2015</v>
      </c>
      <c r="D269">
        <f t="shared" si="21"/>
        <v>3</v>
      </c>
      <c r="E269" t="s">
        <v>76</v>
      </c>
      <c r="F269" t="s">
        <v>138</v>
      </c>
      <c r="G269" s="14">
        <v>58006</v>
      </c>
      <c r="H269" t="s">
        <v>60</v>
      </c>
      <c r="I269" t="s">
        <v>61</v>
      </c>
      <c r="J269" t="s">
        <v>405</v>
      </c>
      <c r="K269">
        <f t="shared" si="22"/>
        <v>1</v>
      </c>
      <c r="L269">
        <f t="shared" si="23"/>
        <v>0</v>
      </c>
      <c r="M269">
        <f t="shared" si="24"/>
        <v>1</v>
      </c>
    </row>
    <row r="270" spans="1:13">
      <c r="A270">
        <v>161</v>
      </c>
      <c r="B270" s="13">
        <v>42067</v>
      </c>
      <c r="C270">
        <f t="shared" si="20"/>
        <v>2015</v>
      </c>
      <c r="D270">
        <f t="shared" si="21"/>
        <v>3</v>
      </c>
      <c r="E270" t="s">
        <v>47</v>
      </c>
      <c r="F270" t="s">
        <v>132</v>
      </c>
      <c r="G270" s="14">
        <v>62857</v>
      </c>
      <c r="H270" t="s">
        <v>49</v>
      </c>
      <c r="I270" t="s">
        <v>103</v>
      </c>
      <c r="J270" t="s">
        <v>406</v>
      </c>
      <c r="K270">
        <f t="shared" si="22"/>
        <v>1</v>
      </c>
      <c r="L270">
        <f t="shared" si="23"/>
        <v>0</v>
      </c>
      <c r="M270">
        <f t="shared" si="24"/>
        <v>1</v>
      </c>
    </row>
    <row r="271" spans="1:13">
      <c r="A271">
        <v>81</v>
      </c>
      <c r="B271" s="13">
        <v>42073</v>
      </c>
      <c r="C271">
        <f t="shared" si="20"/>
        <v>2015</v>
      </c>
      <c r="D271">
        <f t="shared" si="21"/>
        <v>3</v>
      </c>
      <c r="E271" t="s">
        <v>38</v>
      </c>
      <c r="F271" t="s">
        <v>39</v>
      </c>
      <c r="G271" s="14">
        <v>79192</v>
      </c>
      <c r="H271" t="s">
        <v>40</v>
      </c>
      <c r="I271" t="s">
        <v>45</v>
      </c>
      <c r="J271" t="s">
        <v>407</v>
      </c>
      <c r="K271">
        <f t="shared" si="22"/>
        <v>1</v>
      </c>
      <c r="L271">
        <f t="shared" si="23"/>
        <v>0</v>
      </c>
      <c r="M271">
        <f t="shared" si="24"/>
        <v>1</v>
      </c>
    </row>
    <row r="272" spans="1:13">
      <c r="A272">
        <v>489</v>
      </c>
      <c r="B272" s="13">
        <v>42080</v>
      </c>
      <c r="C272">
        <f t="shared" si="20"/>
        <v>2015</v>
      </c>
      <c r="D272">
        <f t="shared" si="21"/>
        <v>3</v>
      </c>
      <c r="E272" t="s">
        <v>47</v>
      </c>
      <c r="F272" t="s">
        <v>272</v>
      </c>
      <c r="G272" s="14">
        <v>57944</v>
      </c>
      <c r="H272" t="s">
        <v>53</v>
      </c>
      <c r="I272" t="s">
        <v>120</v>
      </c>
      <c r="J272" t="s">
        <v>408</v>
      </c>
      <c r="K272">
        <f t="shared" si="22"/>
        <v>1</v>
      </c>
      <c r="L272">
        <f t="shared" si="23"/>
        <v>0</v>
      </c>
      <c r="M272">
        <f t="shared" si="24"/>
        <v>1</v>
      </c>
    </row>
    <row r="273" spans="1:13">
      <c r="A273">
        <v>841</v>
      </c>
      <c r="B273" s="13">
        <v>42095</v>
      </c>
      <c r="C273">
        <f t="shared" si="20"/>
        <v>2015</v>
      </c>
      <c r="D273">
        <f t="shared" si="21"/>
        <v>4</v>
      </c>
      <c r="E273" t="s">
        <v>43</v>
      </c>
      <c r="F273" t="s">
        <v>70</v>
      </c>
      <c r="G273" s="14">
        <v>51561</v>
      </c>
      <c r="H273" t="s">
        <v>60</v>
      </c>
      <c r="I273" t="s">
        <v>199</v>
      </c>
      <c r="J273" t="s">
        <v>409</v>
      </c>
      <c r="K273">
        <f t="shared" si="22"/>
        <v>1</v>
      </c>
      <c r="L273">
        <f t="shared" si="23"/>
        <v>0</v>
      </c>
      <c r="M273">
        <f t="shared" si="24"/>
        <v>1</v>
      </c>
    </row>
    <row r="274" spans="1:13">
      <c r="A274">
        <v>229</v>
      </c>
      <c r="B274" s="13">
        <v>42103</v>
      </c>
      <c r="C274">
        <f t="shared" si="20"/>
        <v>2015</v>
      </c>
      <c r="D274">
        <f t="shared" si="21"/>
        <v>4</v>
      </c>
      <c r="E274" t="s">
        <v>47</v>
      </c>
      <c r="F274" t="s">
        <v>272</v>
      </c>
      <c r="G274" s="14">
        <v>61436</v>
      </c>
      <c r="H274" t="s">
        <v>60</v>
      </c>
      <c r="I274" t="s">
        <v>61</v>
      </c>
      <c r="J274" t="s">
        <v>410</v>
      </c>
      <c r="K274">
        <f t="shared" si="22"/>
        <v>1</v>
      </c>
      <c r="L274">
        <f t="shared" si="23"/>
        <v>0</v>
      </c>
      <c r="M274">
        <f t="shared" si="24"/>
        <v>1</v>
      </c>
    </row>
    <row r="275" spans="1:13">
      <c r="A275">
        <v>440</v>
      </c>
      <c r="B275" s="13">
        <v>42108</v>
      </c>
      <c r="C275">
        <f t="shared" si="20"/>
        <v>2015</v>
      </c>
      <c r="D275">
        <f t="shared" si="21"/>
        <v>4</v>
      </c>
      <c r="E275" t="s">
        <v>38</v>
      </c>
      <c r="F275" t="s">
        <v>56</v>
      </c>
      <c r="G275" s="14">
        <v>44174</v>
      </c>
      <c r="H275" t="s">
        <v>40</v>
      </c>
      <c r="I275" t="s">
        <v>85</v>
      </c>
      <c r="J275" t="s">
        <v>411</v>
      </c>
      <c r="K275">
        <f t="shared" si="22"/>
        <v>1</v>
      </c>
      <c r="L275">
        <f t="shared" si="23"/>
        <v>0</v>
      </c>
      <c r="M275">
        <f t="shared" si="24"/>
        <v>1</v>
      </c>
    </row>
    <row r="276" spans="1:13">
      <c r="A276">
        <v>915</v>
      </c>
      <c r="B276" s="13">
        <v>42110</v>
      </c>
      <c r="C276">
        <f t="shared" si="20"/>
        <v>2015</v>
      </c>
      <c r="D276">
        <f t="shared" si="21"/>
        <v>4</v>
      </c>
      <c r="E276" t="s">
        <v>76</v>
      </c>
      <c r="F276" t="s">
        <v>91</v>
      </c>
      <c r="G276" s="14">
        <v>46699</v>
      </c>
      <c r="H276" t="s">
        <v>81</v>
      </c>
      <c r="I276" t="s">
        <v>153</v>
      </c>
      <c r="J276" t="s">
        <v>412</v>
      </c>
      <c r="K276">
        <f t="shared" si="22"/>
        <v>1</v>
      </c>
      <c r="L276">
        <f t="shared" si="23"/>
        <v>0</v>
      </c>
      <c r="M276">
        <f t="shared" si="24"/>
        <v>1</v>
      </c>
    </row>
    <row r="277" spans="1:13">
      <c r="A277">
        <v>586</v>
      </c>
      <c r="B277" s="13">
        <v>42112</v>
      </c>
      <c r="C277">
        <f t="shared" si="20"/>
        <v>2015</v>
      </c>
      <c r="D277">
        <f t="shared" si="21"/>
        <v>4</v>
      </c>
      <c r="E277" t="s">
        <v>43</v>
      </c>
      <c r="F277" t="s">
        <v>44</v>
      </c>
      <c r="G277" s="14">
        <v>47039</v>
      </c>
      <c r="H277" t="s">
        <v>40</v>
      </c>
      <c r="I277" t="s">
        <v>100</v>
      </c>
      <c r="J277" t="s">
        <v>413</v>
      </c>
      <c r="K277">
        <f t="shared" si="22"/>
        <v>1</v>
      </c>
      <c r="L277">
        <f t="shared" si="23"/>
        <v>0</v>
      </c>
      <c r="M277">
        <f t="shared" si="24"/>
        <v>1</v>
      </c>
    </row>
    <row r="278" spans="1:13">
      <c r="A278">
        <v>338</v>
      </c>
      <c r="B278" s="13">
        <v>42114</v>
      </c>
      <c r="C278">
        <f t="shared" si="20"/>
        <v>2015</v>
      </c>
      <c r="D278">
        <f t="shared" si="21"/>
        <v>4</v>
      </c>
      <c r="E278" t="s">
        <v>43</v>
      </c>
      <c r="F278" t="s">
        <v>44</v>
      </c>
      <c r="G278" s="14">
        <v>54647</v>
      </c>
      <c r="H278" t="s">
        <v>57</v>
      </c>
      <c r="I278" t="s">
        <v>160</v>
      </c>
      <c r="J278" t="s">
        <v>414</v>
      </c>
      <c r="K278">
        <f t="shared" si="22"/>
        <v>1</v>
      </c>
      <c r="L278">
        <f t="shared" si="23"/>
        <v>0</v>
      </c>
      <c r="M278">
        <f t="shared" si="24"/>
        <v>1</v>
      </c>
    </row>
    <row r="279" spans="1:13">
      <c r="A279">
        <v>292</v>
      </c>
      <c r="B279" s="13">
        <v>42117</v>
      </c>
      <c r="C279">
        <f t="shared" si="20"/>
        <v>2015</v>
      </c>
      <c r="D279">
        <f t="shared" si="21"/>
        <v>4</v>
      </c>
      <c r="E279" t="s">
        <v>43</v>
      </c>
      <c r="F279" t="s">
        <v>87</v>
      </c>
      <c r="G279" s="14">
        <v>69635</v>
      </c>
      <c r="H279" t="s">
        <v>40</v>
      </c>
      <c r="I279" t="s">
        <v>88</v>
      </c>
      <c r="J279" t="s">
        <v>415</v>
      </c>
      <c r="K279">
        <f t="shared" si="22"/>
        <v>1</v>
      </c>
      <c r="L279">
        <f t="shared" si="23"/>
        <v>0</v>
      </c>
      <c r="M279">
        <f t="shared" si="24"/>
        <v>1</v>
      </c>
    </row>
    <row r="280" spans="1:13">
      <c r="A280">
        <v>925</v>
      </c>
      <c r="B280" s="13">
        <v>42120</v>
      </c>
      <c r="C280">
        <f t="shared" si="20"/>
        <v>2015</v>
      </c>
      <c r="D280">
        <f t="shared" si="21"/>
        <v>4</v>
      </c>
      <c r="E280" t="s">
        <v>38</v>
      </c>
      <c r="F280" t="s">
        <v>126</v>
      </c>
      <c r="G280" s="14">
        <v>75067</v>
      </c>
      <c r="H280" t="s">
        <v>49</v>
      </c>
      <c r="I280" t="s">
        <v>151</v>
      </c>
      <c r="J280" t="s">
        <v>416</v>
      </c>
      <c r="K280">
        <f t="shared" si="22"/>
        <v>1</v>
      </c>
      <c r="L280">
        <f t="shared" si="23"/>
        <v>0</v>
      </c>
      <c r="M280">
        <f t="shared" si="24"/>
        <v>1</v>
      </c>
    </row>
    <row r="281" spans="1:13">
      <c r="A281">
        <v>439</v>
      </c>
      <c r="B281" s="13">
        <v>42133</v>
      </c>
      <c r="C281">
        <f t="shared" si="20"/>
        <v>2015</v>
      </c>
      <c r="D281">
        <f t="shared" si="21"/>
        <v>5</v>
      </c>
      <c r="E281" t="s">
        <v>73</v>
      </c>
      <c r="F281" t="s">
        <v>102</v>
      </c>
      <c r="G281" s="14">
        <v>65270</v>
      </c>
      <c r="H281" t="s">
        <v>81</v>
      </c>
      <c r="I281" t="s">
        <v>108</v>
      </c>
      <c r="J281" t="s">
        <v>417</v>
      </c>
      <c r="K281">
        <f t="shared" si="22"/>
        <v>1</v>
      </c>
      <c r="L281">
        <f t="shared" si="23"/>
        <v>0</v>
      </c>
      <c r="M281">
        <f t="shared" si="24"/>
        <v>1</v>
      </c>
    </row>
    <row r="282" spans="1:13">
      <c r="A282">
        <v>329</v>
      </c>
      <c r="B282" s="13">
        <v>42134</v>
      </c>
      <c r="C282">
        <f t="shared" si="20"/>
        <v>2015</v>
      </c>
      <c r="D282">
        <f t="shared" si="21"/>
        <v>5</v>
      </c>
      <c r="E282" t="s">
        <v>73</v>
      </c>
      <c r="F282" t="s">
        <v>74</v>
      </c>
      <c r="G282" s="14">
        <v>63689</v>
      </c>
      <c r="H282" t="s">
        <v>60</v>
      </c>
      <c r="I282" t="s">
        <v>188</v>
      </c>
      <c r="J282" t="s">
        <v>418</v>
      </c>
      <c r="K282">
        <f t="shared" si="22"/>
        <v>1</v>
      </c>
      <c r="L282">
        <f t="shared" si="23"/>
        <v>0</v>
      </c>
      <c r="M282">
        <f t="shared" si="24"/>
        <v>1</v>
      </c>
    </row>
    <row r="283" spans="1:13">
      <c r="A283">
        <v>481</v>
      </c>
      <c r="B283" s="13">
        <v>42134</v>
      </c>
      <c r="C283">
        <f t="shared" si="20"/>
        <v>2015</v>
      </c>
      <c r="D283">
        <f t="shared" si="21"/>
        <v>5</v>
      </c>
      <c r="E283" t="s">
        <v>38</v>
      </c>
      <c r="F283" t="s">
        <v>165</v>
      </c>
      <c r="G283" s="14">
        <v>54405</v>
      </c>
      <c r="H283" t="s">
        <v>60</v>
      </c>
      <c r="I283" t="s">
        <v>199</v>
      </c>
      <c r="J283" t="s">
        <v>419</v>
      </c>
      <c r="K283">
        <f t="shared" si="22"/>
        <v>1</v>
      </c>
      <c r="L283">
        <f t="shared" si="23"/>
        <v>0</v>
      </c>
      <c r="M283">
        <f t="shared" si="24"/>
        <v>1</v>
      </c>
    </row>
    <row r="284" spans="1:13">
      <c r="A284">
        <v>691</v>
      </c>
      <c r="B284" s="13">
        <v>42142</v>
      </c>
      <c r="C284">
        <f t="shared" si="20"/>
        <v>2015</v>
      </c>
      <c r="D284">
        <f t="shared" si="21"/>
        <v>5</v>
      </c>
      <c r="E284" t="s">
        <v>73</v>
      </c>
      <c r="F284" t="s">
        <v>223</v>
      </c>
      <c r="G284" s="14">
        <v>58735</v>
      </c>
      <c r="H284" t="s">
        <v>49</v>
      </c>
      <c r="I284" t="s">
        <v>122</v>
      </c>
      <c r="J284" t="s">
        <v>420</v>
      </c>
      <c r="K284">
        <f t="shared" si="22"/>
        <v>1</v>
      </c>
      <c r="L284">
        <f t="shared" si="23"/>
        <v>0</v>
      </c>
      <c r="M284">
        <f t="shared" si="24"/>
        <v>1</v>
      </c>
    </row>
    <row r="285" spans="1:13">
      <c r="A285">
        <v>101</v>
      </c>
      <c r="B285" s="13">
        <v>42145</v>
      </c>
      <c r="C285">
        <f t="shared" si="20"/>
        <v>2015</v>
      </c>
      <c r="D285">
        <f t="shared" si="21"/>
        <v>5</v>
      </c>
      <c r="E285" t="s">
        <v>76</v>
      </c>
      <c r="F285" t="s">
        <v>129</v>
      </c>
      <c r="G285" s="14">
        <v>71489</v>
      </c>
      <c r="H285" t="s">
        <v>53</v>
      </c>
      <c r="I285" t="s">
        <v>92</v>
      </c>
      <c r="J285" t="s">
        <v>421</v>
      </c>
      <c r="K285">
        <f t="shared" si="22"/>
        <v>1</v>
      </c>
      <c r="L285">
        <f t="shared" si="23"/>
        <v>0</v>
      </c>
      <c r="M285">
        <f t="shared" si="24"/>
        <v>1</v>
      </c>
    </row>
    <row r="286" spans="1:13">
      <c r="A286">
        <v>351</v>
      </c>
      <c r="B286" s="13">
        <v>42148</v>
      </c>
      <c r="C286">
        <f t="shared" si="20"/>
        <v>2015</v>
      </c>
      <c r="D286">
        <f t="shared" si="21"/>
        <v>5</v>
      </c>
      <c r="E286" t="s">
        <v>47</v>
      </c>
      <c r="F286" t="s">
        <v>132</v>
      </c>
      <c r="G286" s="14">
        <v>55243</v>
      </c>
      <c r="H286" t="s">
        <v>60</v>
      </c>
      <c r="I286" t="s">
        <v>71</v>
      </c>
      <c r="J286" t="s">
        <v>422</v>
      </c>
      <c r="K286">
        <f t="shared" si="22"/>
        <v>1</v>
      </c>
      <c r="L286">
        <f t="shared" si="23"/>
        <v>0</v>
      </c>
      <c r="M286">
        <f t="shared" si="24"/>
        <v>1</v>
      </c>
    </row>
    <row r="287" spans="1:13">
      <c r="A287">
        <v>616</v>
      </c>
      <c r="B287" s="13">
        <v>42148</v>
      </c>
      <c r="C287">
        <f t="shared" si="20"/>
        <v>2015</v>
      </c>
      <c r="D287">
        <f t="shared" si="21"/>
        <v>5</v>
      </c>
      <c r="E287" t="s">
        <v>38</v>
      </c>
      <c r="F287" t="s">
        <v>39</v>
      </c>
      <c r="G287" s="14">
        <v>48161</v>
      </c>
      <c r="H287" t="s">
        <v>60</v>
      </c>
      <c r="I287" t="s">
        <v>188</v>
      </c>
      <c r="J287" t="s">
        <v>423</v>
      </c>
      <c r="K287">
        <f t="shared" si="22"/>
        <v>1</v>
      </c>
      <c r="L287">
        <f t="shared" si="23"/>
        <v>0</v>
      </c>
      <c r="M287">
        <f t="shared" si="24"/>
        <v>1</v>
      </c>
    </row>
    <row r="288" spans="1:13">
      <c r="A288">
        <v>601</v>
      </c>
      <c r="B288" s="13">
        <v>42149</v>
      </c>
      <c r="C288">
        <f t="shared" si="20"/>
        <v>2015</v>
      </c>
      <c r="D288">
        <f t="shared" si="21"/>
        <v>5</v>
      </c>
      <c r="E288" t="s">
        <v>73</v>
      </c>
      <c r="F288" t="s">
        <v>102</v>
      </c>
      <c r="G288" s="14">
        <v>64954</v>
      </c>
      <c r="H288" t="s">
        <v>57</v>
      </c>
      <c r="I288" t="s">
        <v>160</v>
      </c>
      <c r="J288" t="s">
        <v>424</v>
      </c>
      <c r="K288">
        <f t="shared" si="22"/>
        <v>1</v>
      </c>
      <c r="L288">
        <f t="shared" si="23"/>
        <v>0</v>
      </c>
      <c r="M288">
        <f t="shared" si="24"/>
        <v>1</v>
      </c>
    </row>
    <row r="289" spans="1:13">
      <c r="A289">
        <v>399</v>
      </c>
      <c r="B289" s="13">
        <v>42150</v>
      </c>
      <c r="C289">
        <f t="shared" si="20"/>
        <v>2015</v>
      </c>
      <c r="D289">
        <f t="shared" si="21"/>
        <v>5</v>
      </c>
      <c r="E289" t="s">
        <v>63</v>
      </c>
      <c r="F289" t="s">
        <v>425</v>
      </c>
      <c r="G289" s="14">
        <v>44265.45</v>
      </c>
      <c r="H289" t="s">
        <v>49</v>
      </c>
      <c r="I289" t="s">
        <v>151</v>
      </c>
      <c r="J289" t="s">
        <v>426</v>
      </c>
      <c r="K289">
        <f t="shared" si="22"/>
        <v>1</v>
      </c>
      <c r="L289">
        <f t="shared" si="23"/>
        <v>0</v>
      </c>
      <c r="M289">
        <f t="shared" si="24"/>
        <v>1</v>
      </c>
    </row>
    <row r="290" spans="1:13">
      <c r="A290">
        <v>153</v>
      </c>
      <c r="B290" s="13">
        <v>42151</v>
      </c>
      <c r="C290">
        <f t="shared" si="20"/>
        <v>2015</v>
      </c>
      <c r="D290">
        <f t="shared" si="21"/>
        <v>5</v>
      </c>
      <c r="E290" t="s">
        <v>43</v>
      </c>
      <c r="F290" t="s">
        <v>70</v>
      </c>
      <c r="G290" s="14">
        <v>46364</v>
      </c>
      <c r="H290" t="s">
        <v>53</v>
      </c>
      <c r="I290" t="s">
        <v>78</v>
      </c>
      <c r="J290" t="s">
        <v>427</v>
      </c>
      <c r="K290">
        <f t="shared" si="22"/>
        <v>1</v>
      </c>
      <c r="L290">
        <f t="shared" si="23"/>
        <v>0</v>
      </c>
      <c r="M290">
        <f t="shared" si="24"/>
        <v>1</v>
      </c>
    </row>
    <row r="291" spans="1:13">
      <c r="A291">
        <v>256</v>
      </c>
      <c r="B291" s="13">
        <v>42151</v>
      </c>
      <c r="C291">
        <f t="shared" si="20"/>
        <v>2015</v>
      </c>
      <c r="D291">
        <f t="shared" si="21"/>
        <v>5</v>
      </c>
      <c r="E291" t="s">
        <v>94</v>
      </c>
      <c r="F291" t="s">
        <v>328</v>
      </c>
      <c r="G291" s="14">
        <v>75551</v>
      </c>
      <c r="H291" t="s">
        <v>40</v>
      </c>
      <c r="I291" t="s">
        <v>180</v>
      </c>
      <c r="J291" t="s">
        <v>428</v>
      </c>
      <c r="K291">
        <f t="shared" si="22"/>
        <v>1</v>
      </c>
      <c r="L291">
        <f t="shared" si="23"/>
        <v>0</v>
      </c>
      <c r="M291">
        <f t="shared" si="24"/>
        <v>1</v>
      </c>
    </row>
    <row r="292" spans="1:13">
      <c r="A292">
        <v>216</v>
      </c>
      <c r="B292" s="13">
        <v>42161</v>
      </c>
      <c r="C292">
        <f t="shared" si="20"/>
        <v>2015</v>
      </c>
      <c r="D292">
        <f t="shared" si="21"/>
        <v>6</v>
      </c>
      <c r="E292" t="s">
        <v>73</v>
      </c>
      <c r="F292" t="s">
        <v>223</v>
      </c>
      <c r="G292" s="14">
        <v>79095</v>
      </c>
      <c r="H292" t="s">
        <v>60</v>
      </c>
      <c r="I292" t="s">
        <v>188</v>
      </c>
      <c r="J292" t="s">
        <v>429</v>
      </c>
      <c r="K292">
        <f t="shared" si="22"/>
        <v>1</v>
      </c>
      <c r="L292">
        <f t="shared" si="23"/>
        <v>0</v>
      </c>
      <c r="M292">
        <f t="shared" si="24"/>
        <v>1</v>
      </c>
    </row>
    <row r="293" spans="1:13">
      <c r="A293">
        <v>196</v>
      </c>
      <c r="B293" s="13">
        <v>42162</v>
      </c>
      <c r="C293">
        <f t="shared" si="20"/>
        <v>2015</v>
      </c>
      <c r="D293">
        <f t="shared" si="21"/>
        <v>6</v>
      </c>
      <c r="E293" t="s">
        <v>47</v>
      </c>
      <c r="F293" t="s">
        <v>132</v>
      </c>
      <c r="G293" s="14">
        <v>75835</v>
      </c>
      <c r="H293" t="s">
        <v>81</v>
      </c>
      <c r="I293" t="s">
        <v>146</v>
      </c>
      <c r="J293" t="s">
        <v>430</v>
      </c>
      <c r="K293">
        <f t="shared" si="22"/>
        <v>1</v>
      </c>
      <c r="L293">
        <f t="shared" si="23"/>
        <v>0</v>
      </c>
      <c r="M293">
        <f t="shared" si="24"/>
        <v>1</v>
      </c>
    </row>
    <row r="294" spans="1:13">
      <c r="A294">
        <v>394</v>
      </c>
      <c r="B294" s="13">
        <v>42162</v>
      </c>
      <c r="C294">
        <f t="shared" si="20"/>
        <v>2015</v>
      </c>
      <c r="D294">
        <f t="shared" si="21"/>
        <v>6</v>
      </c>
      <c r="E294" t="s">
        <v>47</v>
      </c>
      <c r="F294" t="s">
        <v>272</v>
      </c>
      <c r="G294" s="14">
        <v>64315</v>
      </c>
      <c r="H294" t="s">
        <v>60</v>
      </c>
      <c r="I294" t="s">
        <v>199</v>
      </c>
      <c r="J294" t="s">
        <v>431</v>
      </c>
      <c r="K294">
        <f t="shared" si="22"/>
        <v>1</v>
      </c>
      <c r="L294">
        <f t="shared" si="23"/>
        <v>0</v>
      </c>
      <c r="M294">
        <f t="shared" si="24"/>
        <v>1</v>
      </c>
    </row>
    <row r="295" spans="1:13">
      <c r="A295">
        <v>435</v>
      </c>
      <c r="B295" s="13">
        <v>42169</v>
      </c>
      <c r="C295">
        <f t="shared" si="20"/>
        <v>2015</v>
      </c>
      <c r="D295">
        <f t="shared" si="21"/>
        <v>6</v>
      </c>
      <c r="E295" t="s">
        <v>47</v>
      </c>
      <c r="F295" t="s">
        <v>48</v>
      </c>
      <c r="G295" s="14">
        <v>55410</v>
      </c>
      <c r="H295" t="s">
        <v>49</v>
      </c>
      <c r="I295" t="s">
        <v>50</v>
      </c>
      <c r="J295" t="s">
        <v>432</v>
      </c>
      <c r="K295">
        <f t="shared" si="22"/>
        <v>1</v>
      </c>
      <c r="L295">
        <f t="shared" si="23"/>
        <v>0</v>
      </c>
      <c r="M295">
        <f t="shared" si="24"/>
        <v>1</v>
      </c>
    </row>
    <row r="296" spans="1:13">
      <c r="A296">
        <v>760</v>
      </c>
      <c r="B296" s="13">
        <v>42171</v>
      </c>
      <c r="C296">
        <f t="shared" si="20"/>
        <v>2015</v>
      </c>
      <c r="D296">
        <f t="shared" si="21"/>
        <v>6</v>
      </c>
      <c r="E296" t="s">
        <v>47</v>
      </c>
      <c r="F296" t="s">
        <v>132</v>
      </c>
      <c r="G296" s="14">
        <v>69698</v>
      </c>
      <c r="H296" t="s">
        <v>53</v>
      </c>
      <c r="I296" t="s">
        <v>68</v>
      </c>
      <c r="J296" t="s">
        <v>433</v>
      </c>
      <c r="K296">
        <f t="shared" si="22"/>
        <v>1</v>
      </c>
      <c r="L296">
        <f t="shared" si="23"/>
        <v>0</v>
      </c>
      <c r="M296">
        <f t="shared" si="24"/>
        <v>1</v>
      </c>
    </row>
    <row r="297" spans="1:13">
      <c r="A297">
        <v>687</v>
      </c>
      <c r="B297" s="13">
        <v>42172</v>
      </c>
      <c r="C297">
        <f t="shared" si="20"/>
        <v>2015</v>
      </c>
      <c r="D297">
        <f t="shared" si="21"/>
        <v>6</v>
      </c>
      <c r="E297" t="s">
        <v>47</v>
      </c>
      <c r="F297" t="s">
        <v>132</v>
      </c>
      <c r="G297" s="14">
        <v>48329</v>
      </c>
      <c r="H297" t="s">
        <v>53</v>
      </c>
      <c r="I297" t="s">
        <v>54</v>
      </c>
      <c r="J297" t="s">
        <v>434</v>
      </c>
      <c r="K297">
        <f t="shared" si="22"/>
        <v>1</v>
      </c>
      <c r="L297">
        <f t="shared" si="23"/>
        <v>0</v>
      </c>
      <c r="M297">
        <f t="shared" si="24"/>
        <v>1</v>
      </c>
    </row>
    <row r="298" spans="1:13">
      <c r="A298">
        <v>804</v>
      </c>
      <c r="B298" s="13">
        <v>42181</v>
      </c>
      <c r="C298">
        <f t="shared" si="20"/>
        <v>2015</v>
      </c>
      <c r="D298">
        <f t="shared" si="21"/>
        <v>6</v>
      </c>
      <c r="E298" t="s">
        <v>76</v>
      </c>
      <c r="F298" t="s">
        <v>91</v>
      </c>
      <c r="G298" s="14">
        <v>73137</v>
      </c>
      <c r="H298" t="s">
        <v>57</v>
      </c>
      <c r="I298" t="s">
        <v>58</v>
      </c>
      <c r="J298" t="s">
        <v>435</v>
      </c>
      <c r="K298">
        <f t="shared" si="22"/>
        <v>1</v>
      </c>
      <c r="L298">
        <f t="shared" si="23"/>
        <v>0</v>
      </c>
      <c r="M298">
        <f t="shared" si="24"/>
        <v>1</v>
      </c>
    </row>
    <row r="299" spans="1:13">
      <c r="A299">
        <v>544</v>
      </c>
      <c r="B299" s="13">
        <v>42183</v>
      </c>
      <c r="C299">
        <f t="shared" si="20"/>
        <v>2015</v>
      </c>
      <c r="D299">
        <f t="shared" si="21"/>
        <v>6</v>
      </c>
      <c r="E299" t="s">
        <v>76</v>
      </c>
      <c r="F299" t="s">
        <v>138</v>
      </c>
      <c r="G299" s="14">
        <v>71484</v>
      </c>
      <c r="H299" t="s">
        <v>53</v>
      </c>
      <c r="I299" t="s">
        <v>120</v>
      </c>
      <c r="J299" t="s">
        <v>436</v>
      </c>
      <c r="K299">
        <f t="shared" si="22"/>
        <v>1</v>
      </c>
      <c r="L299">
        <f t="shared" si="23"/>
        <v>0</v>
      </c>
      <c r="M299">
        <f t="shared" si="24"/>
        <v>1</v>
      </c>
    </row>
    <row r="300" spans="1:13">
      <c r="A300">
        <v>36</v>
      </c>
      <c r="B300" s="13">
        <v>42184</v>
      </c>
      <c r="C300">
        <f t="shared" si="20"/>
        <v>2015</v>
      </c>
      <c r="D300">
        <f t="shared" si="21"/>
        <v>6</v>
      </c>
      <c r="E300" t="s">
        <v>38</v>
      </c>
      <c r="F300" t="s">
        <v>165</v>
      </c>
      <c r="G300" s="14">
        <v>49291</v>
      </c>
      <c r="H300" t="s">
        <v>57</v>
      </c>
      <c r="I300" t="s">
        <v>65</v>
      </c>
      <c r="J300" t="s">
        <v>437</v>
      </c>
      <c r="K300">
        <f t="shared" si="22"/>
        <v>1</v>
      </c>
      <c r="L300">
        <f t="shared" si="23"/>
        <v>0</v>
      </c>
      <c r="M300">
        <f t="shared" si="24"/>
        <v>1</v>
      </c>
    </row>
    <row r="301" spans="1:13">
      <c r="A301">
        <v>647</v>
      </c>
      <c r="B301" s="13">
        <v>42185</v>
      </c>
      <c r="C301">
        <f t="shared" si="20"/>
        <v>2015</v>
      </c>
      <c r="D301">
        <f t="shared" si="21"/>
        <v>6</v>
      </c>
      <c r="E301" t="s">
        <v>73</v>
      </c>
      <c r="F301" t="s">
        <v>140</v>
      </c>
      <c r="G301" s="14">
        <v>67904</v>
      </c>
      <c r="H301" t="s">
        <v>49</v>
      </c>
      <c r="I301" t="s">
        <v>151</v>
      </c>
      <c r="J301" t="s">
        <v>438</v>
      </c>
      <c r="K301">
        <f t="shared" si="22"/>
        <v>1</v>
      </c>
      <c r="L301">
        <f t="shared" si="23"/>
        <v>0</v>
      </c>
      <c r="M301">
        <f t="shared" si="24"/>
        <v>1</v>
      </c>
    </row>
    <row r="302" spans="1:13">
      <c r="A302">
        <v>756</v>
      </c>
      <c r="B302" s="13">
        <v>42189</v>
      </c>
      <c r="C302">
        <f t="shared" si="20"/>
        <v>2015</v>
      </c>
      <c r="D302">
        <f t="shared" si="21"/>
        <v>7</v>
      </c>
      <c r="E302" t="s">
        <v>63</v>
      </c>
      <c r="F302" t="s">
        <v>179</v>
      </c>
      <c r="G302" s="14">
        <v>61382</v>
      </c>
      <c r="H302" t="s">
        <v>40</v>
      </c>
      <c r="I302" t="s">
        <v>142</v>
      </c>
      <c r="J302" t="s">
        <v>439</v>
      </c>
      <c r="K302">
        <f t="shared" si="22"/>
        <v>1</v>
      </c>
      <c r="L302">
        <f t="shared" si="23"/>
        <v>0</v>
      </c>
      <c r="M302">
        <f t="shared" si="24"/>
        <v>1</v>
      </c>
    </row>
    <row r="303" spans="1:13">
      <c r="A303">
        <v>141</v>
      </c>
      <c r="B303" s="13">
        <v>42191</v>
      </c>
      <c r="C303">
        <f t="shared" si="20"/>
        <v>2015</v>
      </c>
      <c r="D303">
        <f t="shared" si="21"/>
        <v>7</v>
      </c>
      <c r="E303" t="s">
        <v>47</v>
      </c>
      <c r="F303" t="s">
        <v>52</v>
      </c>
      <c r="G303" s="14">
        <v>46069</v>
      </c>
      <c r="H303" t="s">
        <v>53</v>
      </c>
      <c r="I303" t="s">
        <v>54</v>
      </c>
      <c r="J303" t="s">
        <v>440</v>
      </c>
      <c r="K303">
        <f t="shared" si="22"/>
        <v>1</v>
      </c>
      <c r="L303">
        <f t="shared" si="23"/>
        <v>0</v>
      </c>
      <c r="M303">
        <f t="shared" si="24"/>
        <v>1</v>
      </c>
    </row>
    <row r="304" spans="1:13">
      <c r="A304">
        <v>946</v>
      </c>
      <c r="B304" s="13">
        <v>42194</v>
      </c>
      <c r="C304">
        <f t="shared" si="20"/>
        <v>2015</v>
      </c>
      <c r="D304">
        <f t="shared" si="21"/>
        <v>7</v>
      </c>
      <c r="E304" t="s">
        <v>76</v>
      </c>
      <c r="F304" t="s">
        <v>207</v>
      </c>
      <c r="G304" s="14">
        <v>65384</v>
      </c>
      <c r="H304" t="s">
        <v>40</v>
      </c>
      <c r="I304" t="s">
        <v>158</v>
      </c>
      <c r="J304" t="s">
        <v>441</v>
      </c>
      <c r="K304">
        <f t="shared" si="22"/>
        <v>1</v>
      </c>
      <c r="L304">
        <f t="shared" si="23"/>
        <v>0</v>
      </c>
      <c r="M304">
        <f t="shared" si="24"/>
        <v>1</v>
      </c>
    </row>
    <row r="305" spans="1:13">
      <c r="A305">
        <v>97</v>
      </c>
      <c r="B305" s="13">
        <v>42198</v>
      </c>
      <c r="C305">
        <f t="shared" si="20"/>
        <v>2015</v>
      </c>
      <c r="D305">
        <f t="shared" si="21"/>
        <v>7</v>
      </c>
      <c r="E305" t="s">
        <v>76</v>
      </c>
      <c r="F305" t="s">
        <v>110</v>
      </c>
      <c r="G305" s="14">
        <v>40114</v>
      </c>
      <c r="H305" t="s">
        <v>60</v>
      </c>
      <c r="I305" t="s">
        <v>71</v>
      </c>
      <c r="J305" t="s">
        <v>442</v>
      </c>
      <c r="K305">
        <f t="shared" si="22"/>
        <v>1</v>
      </c>
      <c r="L305">
        <f t="shared" si="23"/>
        <v>0</v>
      </c>
      <c r="M305">
        <f t="shared" si="24"/>
        <v>1</v>
      </c>
    </row>
    <row r="306" spans="1:13">
      <c r="A306">
        <v>132</v>
      </c>
      <c r="B306" s="13">
        <v>42200</v>
      </c>
      <c r="C306">
        <f t="shared" si="20"/>
        <v>2015</v>
      </c>
      <c r="D306">
        <f t="shared" si="21"/>
        <v>7</v>
      </c>
      <c r="E306" t="s">
        <v>94</v>
      </c>
      <c r="F306" t="s">
        <v>192</v>
      </c>
      <c r="G306" s="14">
        <v>69690</v>
      </c>
      <c r="H306" t="s">
        <v>53</v>
      </c>
      <c r="I306" t="s">
        <v>92</v>
      </c>
      <c r="J306" t="s">
        <v>443</v>
      </c>
      <c r="K306">
        <f t="shared" si="22"/>
        <v>1</v>
      </c>
      <c r="L306">
        <f t="shared" si="23"/>
        <v>0</v>
      </c>
      <c r="M306">
        <f t="shared" si="24"/>
        <v>1</v>
      </c>
    </row>
    <row r="307" spans="1:13">
      <c r="A307">
        <v>567</v>
      </c>
      <c r="B307" s="13">
        <v>42201</v>
      </c>
      <c r="C307">
        <f t="shared" si="20"/>
        <v>2015</v>
      </c>
      <c r="D307">
        <f t="shared" si="21"/>
        <v>7</v>
      </c>
      <c r="E307" t="s">
        <v>76</v>
      </c>
      <c r="F307" t="s">
        <v>294</v>
      </c>
      <c r="G307" s="14">
        <v>45905</v>
      </c>
      <c r="H307" t="s">
        <v>40</v>
      </c>
      <c r="I307" t="s">
        <v>444</v>
      </c>
      <c r="J307" t="s">
        <v>445</v>
      </c>
      <c r="K307">
        <f t="shared" si="22"/>
        <v>1</v>
      </c>
      <c r="L307">
        <f t="shared" si="23"/>
        <v>0</v>
      </c>
      <c r="M307">
        <f t="shared" si="24"/>
        <v>1</v>
      </c>
    </row>
    <row r="308" spans="1:13">
      <c r="A308">
        <v>744</v>
      </c>
      <c r="B308" s="13">
        <v>42206</v>
      </c>
      <c r="C308">
        <f t="shared" si="20"/>
        <v>2015</v>
      </c>
      <c r="D308">
        <f t="shared" si="21"/>
        <v>7</v>
      </c>
      <c r="E308" t="s">
        <v>76</v>
      </c>
      <c r="F308" t="s">
        <v>77</v>
      </c>
      <c r="G308" s="14">
        <v>64051</v>
      </c>
      <c r="H308" t="s">
        <v>40</v>
      </c>
      <c r="I308" t="s">
        <v>98</v>
      </c>
      <c r="J308" t="s">
        <v>446</v>
      </c>
      <c r="K308">
        <f t="shared" si="22"/>
        <v>1</v>
      </c>
      <c r="L308">
        <f t="shared" si="23"/>
        <v>0</v>
      </c>
      <c r="M308">
        <f t="shared" si="24"/>
        <v>1</v>
      </c>
    </row>
    <row r="309" spans="1:13">
      <c r="A309">
        <v>796</v>
      </c>
      <c r="B309" s="13">
        <v>42207</v>
      </c>
      <c r="C309">
        <f t="shared" si="20"/>
        <v>2015</v>
      </c>
      <c r="D309">
        <f t="shared" si="21"/>
        <v>7</v>
      </c>
      <c r="E309" t="s">
        <v>47</v>
      </c>
      <c r="F309" t="s">
        <v>136</v>
      </c>
      <c r="G309" s="14">
        <v>56383</v>
      </c>
      <c r="H309" t="s">
        <v>60</v>
      </c>
      <c r="I309" t="s">
        <v>199</v>
      </c>
      <c r="J309" t="s">
        <v>447</v>
      </c>
      <c r="K309">
        <f t="shared" si="22"/>
        <v>1</v>
      </c>
      <c r="L309">
        <f t="shared" si="23"/>
        <v>0</v>
      </c>
      <c r="M309">
        <f t="shared" si="24"/>
        <v>1</v>
      </c>
    </row>
    <row r="310" spans="1:13">
      <c r="A310">
        <v>320</v>
      </c>
      <c r="B310" s="13">
        <v>42208</v>
      </c>
      <c r="C310">
        <f t="shared" si="20"/>
        <v>2015</v>
      </c>
      <c r="D310">
        <f t="shared" si="21"/>
        <v>7</v>
      </c>
      <c r="E310" t="s">
        <v>76</v>
      </c>
      <c r="F310" t="s">
        <v>129</v>
      </c>
      <c r="G310" s="14">
        <v>47398</v>
      </c>
      <c r="H310" t="s">
        <v>60</v>
      </c>
      <c r="I310" t="s">
        <v>199</v>
      </c>
      <c r="J310" t="s">
        <v>448</v>
      </c>
      <c r="K310">
        <f t="shared" si="22"/>
        <v>1</v>
      </c>
      <c r="L310">
        <f t="shared" si="23"/>
        <v>0</v>
      </c>
      <c r="M310">
        <f t="shared" si="24"/>
        <v>1</v>
      </c>
    </row>
    <row r="311" spans="1:13">
      <c r="A311">
        <v>135</v>
      </c>
      <c r="B311" s="13">
        <v>42210</v>
      </c>
      <c r="C311">
        <f t="shared" si="20"/>
        <v>2015</v>
      </c>
      <c r="D311">
        <f t="shared" si="21"/>
        <v>7</v>
      </c>
      <c r="E311" t="s">
        <v>43</v>
      </c>
      <c r="F311" t="s">
        <v>70</v>
      </c>
      <c r="G311" s="14">
        <v>47760</v>
      </c>
      <c r="H311" t="s">
        <v>40</v>
      </c>
      <c r="I311" t="s">
        <v>45</v>
      </c>
      <c r="J311" t="s">
        <v>449</v>
      </c>
      <c r="K311">
        <f t="shared" si="22"/>
        <v>1</v>
      </c>
      <c r="L311">
        <f t="shared" si="23"/>
        <v>0</v>
      </c>
      <c r="M311">
        <f t="shared" si="24"/>
        <v>1</v>
      </c>
    </row>
    <row r="312" spans="1:13">
      <c r="A312">
        <v>526</v>
      </c>
      <c r="B312" s="13">
        <v>42210</v>
      </c>
      <c r="C312">
        <f t="shared" si="20"/>
        <v>2015</v>
      </c>
      <c r="D312">
        <f t="shared" si="21"/>
        <v>7</v>
      </c>
      <c r="E312" t="s">
        <v>63</v>
      </c>
      <c r="F312" t="s">
        <v>124</v>
      </c>
      <c r="G312" s="14">
        <v>64166</v>
      </c>
      <c r="H312" t="s">
        <v>81</v>
      </c>
      <c r="I312" t="s">
        <v>190</v>
      </c>
      <c r="J312" t="s">
        <v>450</v>
      </c>
      <c r="K312">
        <f t="shared" si="22"/>
        <v>1</v>
      </c>
      <c r="L312">
        <f t="shared" si="23"/>
        <v>0</v>
      </c>
      <c r="M312">
        <f t="shared" si="24"/>
        <v>1</v>
      </c>
    </row>
    <row r="313" spans="1:13">
      <c r="A313">
        <v>516</v>
      </c>
      <c r="B313" s="13">
        <v>42221</v>
      </c>
      <c r="C313">
        <f t="shared" si="20"/>
        <v>2015</v>
      </c>
      <c r="D313">
        <f t="shared" si="21"/>
        <v>8</v>
      </c>
      <c r="E313" t="s">
        <v>38</v>
      </c>
      <c r="F313" t="s">
        <v>56</v>
      </c>
      <c r="G313" s="14">
        <v>65818</v>
      </c>
      <c r="H313" t="s">
        <v>40</v>
      </c>
      <c r="I313" t="s">
        <v>144</v>
      </c>
      <c r="J313" t="s">
        <v>451</v>
      </c>
      <c r="K313">
        <f t="shared" si="22"/>
        <v>1</v>
      </c>
      <c r="L313">
        <f t="shared" si="23"/>
        <v>0</v>
      </c>
      <c r="M313">
        <f t="shared" si="24"/>
        <v>1</v>
      </c>
    </row>
    <row r="314" spans="1:13">
      <c r="A314">
        <v>748</v>
      </c>
      <c r="B314" s="13">
        <v>42223</v>
      </c>
      <c r="C314">
        <f t="shared" si="20"/>
        <v>2015</v>
      </c>
      <c r="D314">
        <f t="shared" si="21"/>
        <v>8</v>
      </c>
      <c r="E314" t="s">
        <v>47</v>
      </c>
      <c r="F314" t="s">
        <v>48</v>
      </c>
      <c r="G314" s="14">
        <v>78194</v>
      </c>
      <c r="H314" t="s">
        <v>53</v>
      </c>
      <c r="I314" t="s">
        <v>92</v>
      </c>
      <c r="J314" t="s">
        <v>452</v>
      </c>
      <c r="K314">
        <f t="shared" si="22"/>
        <v>1</v>
      </c>
      <c r="L314">
        <f t="shared" si="23"/>
        <v>0</v>
      </c>
      <c r="M314">
        <f t="shared" si="24"/>
        <v>1</v>
      </c>
    </row>
    <row r="315" spans="1:13">
      <c r="A315">
        <v>96</v>
      </c>
      <c r="B315" s="13">
        <v>42227</v>
      </c>
      <c r="C315">
        <f t="shared" si="20"/>
        <v>2015</v>
      </c>
      <c r="D315">
        <f t="shared" si="21"/>
        <v>8</v>
      </c>
      <c r="E315" t="s">
        <v>63</v>
      </c>
      <c r="F315" t="s">
        <v>425</v>
      </c>
      <c r="G315" s="14">
        <v>60360</v>
      </c>
      <c r="H315" t="s">
        <v>40</v>
      </c>
      <c r="I315" t="s">
        <v>45</v>
      </c>
      <c r="J315" t="s">
        <v>453</v>
      </c>
      <c r="K315">
        <f t="shared" si="22"/>
        <v>1</v>
      </c>
      <c r="L315">
        <f t="shared" si="23"/>
        <v>0</v>
      </c>
      <c r="M315">
        <f t="shared" si="24"/>
        <v>1</v>
      </c>
    </row>
    <row r="316" spans="1:13">
      <c r="A316">
        <v>99</v>
      </c>
      <c r="B316" s="13">
        <v>42232</v>
      </c>
      <c r="C316">
        <f t="shared" si="20"/>
        <v>2015</v>
      </c>
      <c r="D316">
        <f t="shared" si="21"/>
        <v>8</v>
      </c>
      <c r="E316" t="s">
        <v>47</v>
      </c>
      <c r="F316" t="s">
        <v>155</v>
      </c>
      <c r="G316" s="14">
        <v>54899</v>
      </c>
      <c r="H316" t="s">
        <v>53</v>
      </c>
      <c r="I316" t="s">
        <v>78</v>
      </c>
      <c r="J316" t="s">
        <v>454</v>
      </c>
      <c r="K316">
        <f t="shared" si="22"/>
        <v>1</v>
      </c>
      <c r="L316">
        <f t="shared" si="23"/>
        <v>0</v>
      </c>
      <c r="M316">
        <f t="shared" si="24"/>
        <v>1</v>
      </c>
    </row>
    <row r="317" spans="1:13">
      <c r="A317">
        <v>432</v>
      </c>
      <c r="B317" s="13">
        <v>42233</v>
      </c>
      <c r="C317">
        <f t="shared" si="20"/>
        <v>2015</v>
      </c>
      <c r="D317">
        <f t="shared" si="21"/>
        <v>8</v>
      </c>
      <c r="E317" t="s">
        <v>76</v>
      </c>
      <c r="F317" t="s">
        <v>138</v>
      </c>
      <c r="G317" s="14">
        <v>67596</v>
      </c>
      <c r="H317" t="s">
        <v>40</v>
      </c>
      <c r="I317" t="s">
        <v>100</v>
      </c>
      <c r="J317" t="s">
        <v>455</v>
      </c>
      <c r="K317">
        <f t="shared" si="22"/>
        <v>1</v>
      </c>
      <c r="L317">
        <f t="shared" si="23"/>
        <v>0</v>
      </c>
      <c r="M317">
        <f t="shared" si="24"/>
        <v>1</v>
      </c>
    </row>
    <row r="318" spans="1:13">
      <c r="A318">
        <v>293</v>
      </c>
      <c r="B318" s="13">
        <v>42234</v>
      </c>
      <c r="C318">
        <f t="shared" si="20"/>
        <v>2015</v>
      </c>
      <c r="D318">
        <f t="shared" si="21"/>
        <v>8</v>
      </c>
      <c r="E318" t="s">
        <v>63</v>
      </c>
      <c r="F318" t="s">
        <v>64</v>
      </c>
      <c r="G318" s="14">
        <v>49108.71</v>
      </c>
      <c r="H318" t="s">
        <v>49</v>
      </c>
      <c r="I318" t="s">
        <v>122</v>
      </c>
      <c r="J318" t="s">
        <v>456</v>
      </c>
      <c r="K318">
        <f t="shared" si="22"/>
        <v>1</v>
      </c>
      <c r="L318">
        <f t="shared" si="23"/>
        <v>0</v>
      </c>
      <c r="M318">
        <f t="shared" si="24"/>
        <v>1</v>
      </c>
    </row>
    <row r="319" spans="1:13">
      <c r="A319">
        <v>767</v>
      </c>
      <c r="B319" s="13">
        <v>42234</v>
      </c>
      <c r="C319">
        <f t="shared" si="20"/>
        <v>2015</v>
      </c>
      <c r="D319">
        <f t="shared" si="21"/>
        <v>8</v>
      </c>
      <c r="E319" t="s">
        <v>38</v>
      </c>
      <c r="F319" t="s">
        <v>39</v>
      </c>
      <c r="G319" s="14">
        <v>47808</v>
      </c>
      <c r="H319" t="s">
        <v>57</v>
      </c>
      <c r="I319" t="s">
        <v>106</v>
      </c>
      <c r="J319" t="s">
        <v>457</v>
      </c>
      <c r="K319">
        <f t="shared" si="22"/>
        <v>1</v>
      </c>
      <c r="L319">
        <f t="shared" si="23"/>
        <v>0</v>
      </c>
      <c r="M319">
        <f t="shared" si="24"/>
        <v>1</v>
      </c>
    </row>
    <row r="320" spans="1:13">
      <c r="A320">
        <v>823</v>
      </c>
      <c r="B320" s="13">
        <v>42235</v>
      </c>
      <c r="C320">
        <f t="shared" si="20"/>
        <v>2015</v>
      </c>
      <c r="D320">
        <f t="shared" si="21"/>
        <v>8</v>
      </c>
      <c r="E320" t="s">
        <v>38</v>
      </c>
      <c r="F320" t="s">
        <v>126</v>
      </c>
      <c r="G320" s="14">
        <v>55191</v>
      </c>
      <c r="H320" t="s">
        <v>53</v>
      </c>
      <c r="I320" t="s">
        <v>120</v>
      </c>
      <c r="J320" t="s">
        <v>458</v>
      </c>
      <c r="K320">
        <f t="shared" si="22"/>
        <v>1</v>
      </c>
      <c r="L320">
        <f t="shared" si="23"/>
        <v>0</v>
      </c>
      <c r="M320">
        <f t="shared" si="24"/>
        <v>1</v>
      </c>
    </row>
    <row r="321" spans="1:13">
      <c r="A321">
        <v>223</v>
      </c>
      <c r="B321" s="13">
        <v>42236</v>
      </c>
      <c r="C321">
        <f t="shared" si="20"/>
        <v>2015</v>
      </c>
      <c r="D321">
        <f t="shared" si="21"/>
        <v>8</v>
      </c>
      <c r="E321" t="s">
        <v>43</v>
      </c>
      <c r="F321" t="s">
        <v>70</v>
      </c>
      <c r="G321" s="14">
        <v>58987</v>
      </c>
      <c r="H321" t="s">
        <v>81</v>
      </c>
      <c r="I321" t="s">
        <v>108</v>
      </c>
      <c r="J321" t="s">
        <v>459</v>
      </c>
      <c r="K321">
        <f t="shared" si="22"/>
        <v>1</v>
      </c>
      <c r="L321">
        <f t="shared" si="23"/>
        <v>0</v>
      </c>
      <c r="M321">
        <f t="shared" si="24"/>
        <v>1</v>
      </c>
    </row>
    <row r="322" spans="1:13">
      <c r="A322">
        <v>522</v>
      </c>
      <c r="B322" s="13">
        <v>42237</v>
      </c>
      <c r="C322">
        <f t="shared" ref="C322:C385" si="25">YEAR(B322)</f>
        <v>2015</v>
      </c>
      <c r="D322">
        <f t="shared" ref="D322:D385" si="26">MONTH(B322)</f>
        <v>8</v>
      </c>
      <c r="E322" t="s">
        <v>76</v>
      </c>
      <c r="F322" t="s">
        <v>216</v>
      </c>
      <c r="G322" s="14">
        <v>75257</v>
      </c>
      <c r="H322" t="s">
        <v>40</v>
      </c>
      <c r="I322" t="s">
        <v>45</v>
      </c>
      <c r="J322" t="s">
        <v>460</v>
      </c>
      <c r="K322">
        <f t="shared" ref="K322:K385" si="27">IF(AND(OR(sel_ano="Todos",C322=sel_ano),OR(sel_pais="Todos",H322=sel_pais),OR(sel_marca="Todas",E322=sel_marca)),1,0)</f>
        <v>1</v>
      </c>
      <c r="L322">
        <f t="shared" ref="L322:L385" si="28">IF(sel_ano="Todos",0,IF(AND(C322=sel_ano-1,OR(sel_pais="Todos",H322=sel_pais),OR(sel_marca="Todas",E322=sel_marca)),1,0))</f>
        <v>0</v>
      </c>
      <c r="M322">
        <f t="shared" ref="M322:M385" si="29">IF(AND(OR(sel_pais="Todos",H322=sel_pais),OR(sel_marca="Todas",E322=sel_marca)),1,0)</f>
        <v>1</v>
      </c>
    </row>
    <row r="323" spans="1:13">
      <c r="A323">
        <v>819</v>
      </c>
      <c r="B323" s="13">
        <v>42244</v>
      </c>
      <c r="C323">
        <f t="shared" si="25"/>
        <v>2015</v>
      </c>
      <c r="D323">
        <f t="shared" si="26"/>
        <v>8</v>
      </c>
      <c r="E323" t="s">
        <v>63</v>
      </c>
      <c r="F323" t="s">
        <v>243</v>
      </c>
      <c r="G323" s="14">
        <v>43019</v>
      </c>
      <c r="H323" t="s">
        <v>40</v>
      </c>
      <c r="I323" t="s">
        <v>291</v>
      </c>
      <c r="J323" t="s">
        <v>461</v>
      </c>
      <c r="K323">
        <f t="shared" si="27"/>
        <v>1</v>
      </c>
      <c r="L323">
        <f t="shared" si="28"/>
        <v>0</v>
      </c>
      <c r="M323">
        <f t="shared" si="29"/>
        <v>1</v>
      </c>
    </row>
    <row r="324" spans="1:13">
      <c r="A324">
        <v>704</v>
      </c>
      <c r="B324" s="13">
        <v>42246</v>
      </c>
      <c r="C324">
        <f t="shared" si="25"/>
        <v>2015</v>
      </c>
      <c r="D324">
        <f t="shared" si="26"/>
        <v>8</v>
      </c>
      <c r="E324" t="s">
        <v>76</v>
      </c>
      <c r="F324" t="s">
        <v>77</v>
      </c>
      <c r="G324" s="14">
        <v>57289</v>
      </c>
      <c r="H324" t="s">
        <v>53</v>
      </c>
      <c r="I324" t="s">
        <v>92</v>
      </c>
      <c r="J324" t="s">
        <v>462</v>
      </c>
      <c r="K324">
        <f t="shared" si="27"/>
        <v>1</v>
      </c>
      <c r="L324">
        <f t="shared" si="28"/>
        <v>0</v>
      </c>
      <c r="M324">
        <f t="shared" si="29"/>
        <v>1</v>
      </c>
    </row>
    <row r="325" spans="1:13">
      <c r="A325">
        <v>136</v>
      </c>
      <c r="B325" s="13">
        <v>42247</v>
      </c>
      <c r="C325">
        <f t="shared" si="25"/>
        <v>2015</v>
      </c>
      <c r="D325">
        <f t="shared" si="26"/>
        <v>8</v>
      </c>
      <c r="E325" t="s">
        <v>47</v>
      </c>
      <c r="F325" t="s">
        <v>136</v>
      </c>
      <c r="G325" s="14">
        <v>49760</v>
      </c>
      <c r="H325" t="s">
        <v>40</v>
      </c>
      <c r="I325" t="s">
        <v>45</v>
      </c>
      <c r="J325" t="s">
        <v>463</v>
      </c>
      <c r="K325">
        <f t="shared" si="27"/>
        <v>1</v>
      </c>
      <c r="L325">
        <f t="shared" si="28"/>
        <v>0</v>
      </c>
      <c r="M325">
        <f t="shared" si="29"/>
        <v>1</v>
      </c>
    </row>
    <row r="326" spans="1:13">
      <c r="A326">
        <v>317</v>
      </c>
      <c r="B326" s="13">
        <v>42248</v>
      </c>
      <c r="C326">
        <f t="shared" si="25"/>
        <v>2015</v>
      </c>
      <c r="D326">
        <f t="shared" si="26"/>
        <v>9</v>
      </c>
      <c r="E326" t="s">
        <v>43</v>
      </c>
      <c r="F326" t="s">
        <v>197</v>
      </c>
      <c r="G326" s="14">
        <v>66004</v>
      </c>
      <c r="H326" t="s">
        <v>53</v>
      </c>
      <c r="I326" t="s">
        <v>54</v>
      </c>
      <c r="J326" t="s">
        <v>464</v>
      </c>
      <c r="K326">
        <f t="shared" si="27"/>
        <v>1</v>
      </c>
      <c r="L326">
        <f t="shared" si="28"/>
        <v>0</v>
      </c>
      <c r="M326">
        <f t="shared" si="29"/>
        <v>1</v>
      </c>
    </row>
    <row r="327" spans="1:13">
      <c r="A327">
        <v>497</v>
      </c>
      <c r="B327" s="13">
        <v>42252</v>
      </c>
      <c r="C327">
        <f t="shared" si="25"/>
        <v>2015</v>
      </c>
      <c r="D327">
        <f t="shared" si="26"/>
        <v>9</v>
      </c>
      <c r="E327" t="s">
        <v>47</v>
      </c>
      <c r="F327" t="s">
        <v>155</v>
      </c>
      <c r="G327" s="14">
        <v>78252</v>
      </c>
      <c r="H327" t="s">
        <v>60</v>
      </c>
      <c r="I327" t="s">
        <v>61</v>
      </c>
      <c r="J327" t="s">
        <v>465</v>
      </c>
      <c r="K327">
        <f t="shared" si="27"/>
        <v>1</v>
      </c>
      <c r="L327">
        <f t="shared" si="28"/>
        <v>0</v>
      </c>
      <c r="M327">
        <f t="shared" si="29"/>
        <v>1</v>
      </c>
    </row>
    <row r="328" spans="1:13">
      <c r="A328">
        <v>552</v>
      </c>
      <c r="B328" s="13">
        <v>42260</v>
      </c>
      <c r="C328">
        <f t="shared" si="25"/>
        <v>2015</v>
      </c>
      <c r="D328">
        <f t="shared" si="26"/>
        <v>9</v>
      </c>
      <c r="E328" t="s">
        <v>47</v>
      </c>
      <c r="F328" t="s">
        <v>48</v>
      </c>
      <c r="G328" s="14">
        <v>40550</v>
      </c>
      <c r="H328" t="s">
        <v>53</v>
      </c>
      <c r="I328" t="s">
        <v>92</v>
      </c>
      <c r="J328" t="s">
        <v>466</v>
      </c>
      <c r="K328">
        <f t="shared" si="27"/>
        <v>1</v>
      </c>
      <c r="L328">
        <f t="shared" si="28"/>
        <v>0</v>
      </c>
      <c r="M328">
        <f t="shared" si="29"/>
        <v>1</v>
      </c>
    </row>
    <row r="329" spans="1:13">
      <c r="A329">
        <v>162</v>
      </c>
      <c r="B329" s="13">
        <v>42269</v>
      </c>
      <c r="C329">
        <f t="shared" si="25"/>
        <v>2015</v>
      </c>
      <c r="D329">
        <f t="shared" si="26"/>
        <v>9</v>
      </c>
      <c r="E329" t="s">
        <v>94</v>
      </c>
      <c r="F329" t="s">
        <v>186</v>
      </c>
      <c r="G329" s="14">
        <v>54815</v>
      </c>
      <c r="H329" t="s">
        <v>81</v>
      </c>
      <c r="I329" t="s">
        <v>190</v>
      </c>
      <c r="J329" t="s">
        <v>467</v>
      </c>
      <c r="K329">
        <f t="shared" si="27"/>
        <v>1</v>
      </c>
      <c r="L329">
        <f t="shared" si="28"/>
        <v>0</v>
      </c>
      <c r="M329">
        <f t="shared" si="29"/>
        <v>1</v>
      </c>
    </row>
    <row r="330" spans="1:13">
      <c r="A330">
        <v>734</v>
      </c>
      <c r="B330" s="13">
        <v>42269</v>
      </c>
      <c r="C330">
        <f t="shared" si="25"/>
        <v>2015</v>
      </c>
      <c r="D330">
        <f t="shared" si="26"/>
        <v>9</v>
      </c>
      <c r="E330" t="s">
        <v>47</v>
      </c>
      <c r="F330" t="s">
        <v>48</v>
      </c>
      <c r="G330" s="14">
        <v>51102</v>
      </c>
      <c r="H330" t="s">
        <v>53</v>
      </c>
      <c r="I330" t="s">
        <v>68</v>
      </c>
      <c r="J330" t="s">
        <v>468</v>
      </c>
      <c r="K330">
        <f t="shared" si="27"/>
        <v>1</v>
      </c>
      <c r="L330">
        <f t="shared" si="28"/>
        <v>0</v>
      </c>
      <c r="M330">
        <f t="shared" si="29"/>
        <v>1</v>
      </c>
    </row>
    <row r="331" spans="1:13">
      <c r="A331">
        <v>718</v>
      </c>
      <c r="B331" s="13">
        <v>42273</v>
      </c>
      <c r="C331">
        <f t="shared" si="25"/>
        <v>2015</v>
      </c>
      <c r="D331">
        <f t="shared" si="26"/>
        <v>9</v>
      </c>
      <c r="E331" t="s">
        <v>76</v>
      </c>
      <c r="F331" t="s">
        <v>77</v>
      </c>
      <c r="G331" s="14">
        <v>57244</v>
      </c>
      <c r="H331" t="s">
        <v>53</v>
      </c>
      <c r="I331" t="s">
        <v>78</v>
      </c>
      <c r="J331" t="s">
        <v>469</v>
      </c>
      <c r="K331">
        <f t="shared" si="27"/>
        <v>1</v>
      </c>
      <c r="L331">
        <f t="shared" si="28"/>
        <v>0</v>
      </c>
      <c r="M331">
        <f t="shared" si="29"/>
        <v>1</v>
      </c>
    </row>
    <row r="332" spans="1:13">
      <c r="A332">
        <v>392</v>
      </c>
      <c r="B332" s="13">
        <v>42283</v>
      </c>
      <c r="C332">
        <f t="shared" si="25"/>
        <v>2015</v>
      </c>
      <c r="D332">
        <f t="shared" si="26"/>
        <v>10</v>
      </c>
      <c r="E332" t="s">
        <v>47</v>
      </c>
      <c r="F332" t="s">
        <v>52</v>
      </c>
      <c r="G332" s="14">
        <v>76895</v>
      </c>
      <c r="H332" t="s">
        <v>40</v>
      </c>
      <c r="I332" t="s">
        <v>45</v>
      </c>
      <c r="J332" t="s">
        <v>470</v>
      </c>
      <c r="K332">
        <f t="shared" si="27"/>
        <v>1</v>
      </c>
      <c r="L332">
        <f t="shared" si="28"/>
        <v>0</v>
      </c>
      <c r="M332">
        <f t="shared" si="29"/>
        <v>1</v>
      </c>
    </row>
    <row r="333" spans="1:13">
      <c r="A333">
        <v>222</v>
      </c>
      <c r="B333" s="13">
        <v>42292</v>
      </c>
      <c r="C333">
        <f t="shared" si="25"/>
        <v>2015</v>
      </c>
      <c r="D333">
        <f t="shared" si="26"/>
        <v>10</v>
      </c>
      <c r="E333" t="s">
        <v>47</v>
      </c>
      <c r="F333" t="s">
        <v>182</v>
      </c>
      <c r="G333" s="14">
        <v>75939</v>
      </c>
      <c r="H333" t="s">
        <v>57</v>
      </c>
      <c r="I333" t="s">
        <v>106</v>
      </c>
      <c r="J333" t="s">
        <v>471</v>
      </c>
      <c r="K333">
        <f t="shared" si="27"/>
        <v>1</v>
      </c>
      <c r="L333">
        <f t="shared" si="28"/>
        <v>0</v>
      </c>
      <c r="M333">
        <f t="shared" si="29"/>
        <v>1</v>
      </c>
    </row>
    <row r="334" spans="1:13">
      <c r="A334">
        <v>94</v>
      </c>
      <c r="B334" s="13">
        <v>42294</v>
      </c>
      <c r="C334">
        <f t="shared" si="25"/>
        <v>2015</v>
      </c>
      <c r="D334">
        <f t="shared" si="26"/>
        <v>10</v>
      </c>
      <c r="E334" t="s">
        <v>63</v>
      </c>
      <c r="F334" t="s">
        <v>179</v>
      </c>
      <c r="G334" s="14">
        <v>52458</v>
      </c>
      <c r="H334" t="s">
        <v>40</v>
      </c>
      <c r="I334" t="s">
        <v>142</v>
      </c>
      <c r="J334" t="s">
        <v>472</v>
      </c>
      <c r="K334">
        <f t="shared" si="27"/>
        <v>1</v>
      </c>
      <c r="L334">
        <f t="shared" si="28"/>
        <v>0</v>
      </c>
      <c r="M334">
        <f t="shared" si="29"/>
        <v>1</v>
      </c>
    </row>
    <row r="335" spans="1:13">
      <c r="A335">
        <v>19</v>
      </c>
      <c r="B335" s="13">
        <v>42300</v>
      </c>
      <c r="C335">
        <f t="shared" si="25"/>
        <v>2015</v>
      </c>
      <c r="D335">
        <f t="shared" si="26"/>
        <v>10</v>
      </c>
      <c r="E335" t="s">
        <v>43</v>
      </c>
      <c r="F335" t="s">
        <v>251</v>
      </c>
      <c r="G335" s="14">
        <v>58052</v>
      </c>
      <c r="H335" t="s">
        <v>49</v>
      </c>
      <c r="I335" t="s">
        <v>151</v>
      </c>
      <c r="J335" t="s">
        <v>473</v>
      </c>
      <c r="K335">
        <f t="shared" si="27"/>
        <v>1</v>
      </c>
      <c r="L335">
        <f t="shared" si="28"/>
        <v>0</v>
      </c>
      <c r="M335">
        <f t="shared" si="29"/>
        <v>1</v>
      </c>
    </row>
    <row r="336" spans="1:13">
      <c r="A336">
        <v>123</v>
      </c>
      <c r="B336" s="13">
        <v>42300</v>
      </c>
      <c r="C336">
        <f t="shared" si="25"/>
        <v>2015</v>
      </c>
      <c r="D336">
        <f t="shared" si="26"/>
        <v>10</v>
      </c>
      <c r="E336" t="s">
        <v>43</v>
      </c>
      <c r="F336" t="s">
        <v>44</v>
      </c>
      <c r="G336" s="14">
        <v>73226</v>
      </c>
      <c r="H336" t="s">
        <v>40</v>
      </c>
      <c r="I336" t="s">
        <v>85</v>
      </c>
      <c r="J336" t="s">
        <v>474</v>
      </c>
      <c r="K336">
        <f t="shared" si="27"/>
        <v>1</v>
      </c>
      <c r="L336">
        <f t="shared" si="28"/>
        <v>0</v>
      </c>
      <c r="M336">
        <f t="shared" si="29"/>
        <v>1</v>
      </c>
    </row>
    <row r="337" spans="1:13">
      <c r="A337">
        <v>377</v>
      </c>
      <c r="B337" s="13">
        <v>42301</v>
      </c>
      <c r="C337">
        <f t="shared" si="25"/>
        <v>2015</v>
      </c>
      <c r="D337">
        <f t="shared" si="26"/>
        <v>10</v>
      </c>
      <c r="E337" t="s">
        <v>38</v>
      </c>
      <c r="F337" t="s">
        <v>236</v>
      </c>
      <c r="G337" s="14">
        <v>41115</v>
      </c>
      <c r="H337" t="s">
        <v>49</v>
      </c>
      <c r="I337" t="s">
        <v>96</v>
      </c>
      <c r="J337" t="s">
        <v>475</v>
      </c>
      <c r="K337">
        <f t="shared" si="27"/>
        <v>1</v>
      </c>
      <c r="L337">
        <f t="shared" si="28"/>
        <v>0</v>
      </c>
      <c r="M337">
        <f t="shared" si="29"/>
        <v>1</v>
      </c>
    </row>
    <row r="338" spans="1:13">
      <c r="A338">
        <v>513</v>
      </c>
      <c r="B338" s="13">
        <v>42301</v>
      </c>
      <c r="C338">
        <f t="shared" si="25"/>
        <v>2015</v>
      </c>
      <c r="D338">
        <f t="shared" si="26"/>
        <v>10</v>
      </c>
      <c r="E338" t="s">
        <v>76</v>
      </c>
      <c r="F338" t="s">
        <v>138</v>
      </c>
      <c r="G338" s="14">
        <v>54345</v>
      </c>
      <c r="H338" t="s">
        <v>81</v>
      </c>
      <c r="I338" t="s">
        <v>190</v>
      </c>
      <c r="J338" t="s">
        <v>476</v>
      </c>
      <c r="K338">
        <f t="shared" si="27"/>
        <v>1</v>
      </c>
      <c r="L338">
        <f t="shared" si="28"/>
        <v>0</v>
      </c>
      <c r="M338">
        <f t="shared" si="29"/>
        <v>1</v>
      </c>
    </row>
    <row r="339" spans="1:13">
      <c r="A339">
        <v>668</v>
      </c>
      <c r="B339" s="13">
        <v>42306</v>
      </c>
      <c r="C339">
        <f t="shared" si="25"/>
        <v>2015</v>
      </c>
      <c r="D339">
        <f t="shared" si="26"/>
        <v>10</v>
      </c>
      <c r="E339" t="s">
        <v>73</v>
      </c>
      <c r="F339" t="s">
        <v>102</v>
      </c>
      <c r="G339" s="14">
        <v>70559</v>
      </c>
      <c r="H339" t="s">
        <v>60</v>
      </c>
      <c r="I339" t="s">
        <v>199</v>
      </c>
      <c r="J339" t="s">
        <v>477</v>
      </c>
      <c r="K339">
        <f t="shared" si="27"/>
        <v>1</v>
      </c>
      <c r="L339">
        <f t="shared" si="28"/>
        <v>0</v>
      </c>
      <c r="M339">
        <f t="shared" si="29"/>
        <v>1</v>
      </c>
    </row>
    <row r="340" spans="1:13">
      <c r="A340">
        <v>883</v>
      </c>
      <c r="B340" s="13">
        <v>42306</v>
      </c>
      <c r="C340">
        <f t="shared" si="25"/>
        <v>2015</v>
      </c>
      <c r="D340">
        <f t="shared" si="26"/>
        <v>10</v>
      </c>
      <c r="E340" t="s">
        <v>47</v>
      </c>
      <c r="F340" t="s">
        <v>136</v>
      </c>
      <c r="G340" s="14">
        <v>59637</v>
      </c>
      <c r="H340" t="s">
        <v>60</v>
      </c>
      <c r="I340" t="s">
        <v>114</v>
      </c>
      <c r="J340" t="s">
        <v>478</v>
      </c>
      <c r="K340">
        <f t="shared" si="27"/>
        <v>1</v>
      </c>
      <c r="L340">
        <f t="shared" si="28"/>
        <v>0</v>
      </c>
      <c r="M340">
        <f t="shared" si="29"/>
        <v>1</v>
      </c>
    </row>
    <row r="341" spans="1:13">
      <c r="A341">
        <v>140</v>
      </c>
      <c r="B341" s="13">
        <v>42307</v>
      </c>
      <c r="C341">
        <f t="shared" si="25"/>
        <v>2015</v>
      </c>
      <c r="D341">
        <f t="shared" si="26"/>
        <v>10</v>
      </c>
      <c r="E341" t="s">
        <v>47</v>
      </c>
      <c r="F341" t="s">
        <v>116</v>
      </c>
      <c r="G341" s="14">
        <v>68462</v>
      </c>
      <c r="H341" t="s">
        <v>53</v>
      </c>
      <c r="I341" t="s">
        <v>68</v>
      </c>
      <c r="J341" t="s">
        <v>479</v>
      </c>
      <c r="K341">
        <f t="shared" si="27"/>
        <v>1</v>
      </c>
      <c r="L341">
        <f t="shared" si="28"/>
        <v>0</v>
      </c>
      <c r="M341">
        <f t="shared" si="29"/>
        <v>1</v>
      </c>
    </row>
    <row r="342" spans="1:13">
      <c r="A342">
        <v>43</v>
      </c>
      <c r="B342" s="13">
        <v>42308</v>
      </c>
      <c r="C342">
        <f t="shared" si="25"/>
        <v>2015</v>
      </c>
      <c r="D342">
        <f t="shared" si="26"/>
        <v>10</v>
      </c>
      <c r="E342" t="s">
        <v>43</v>
      </c>
      <c r="F342" t="s">
        <v>67</v>
      </c>
      <c r="G342" s="14">
        <v>75476</v>
      </c>
      <c r="H342" t="s">
        <v>40</v>
      </c>
      <c r="I342" t="s">
        <v>98</v>
      </c>
      <c r="J342" t="s">
        <v>480</v>
      </c>
      <c r="K342">
        <f t="shared" si="27"/>
        <v>1</v>
      </c>
      <c r="L342">
        <f t="shared" si="28"/>
        <v>0</v>
      </c>
      <c r="M342">
        <f t="shared" si="29"/>
        <v>1</v>
      </c>
    </row>
    <row r="343" spans="1:13">
      <c r="A343">
        <v>442</v>
      </c>
      <c r="B343" s="13">
        <v>42308</v>
      </c>
      <c r="C343">
        <f t="shared" si="25"/>
        <v>2015</v>
      </c>
      <c r="D343">
        <f t="shared" si="26"/>
        <v>10</v>
      </c>
      <c r="E343" t="s">
        <v>38</v>
      </c>
      <c r="F343" t="s">
        <v>56</v>
      </c>
      <c r="G343" s="14">
        <v>44979</v>
      </c>
      <c r="H343" t="s">
        <v>57</v>
      </c>
      <c r="I343" t="s">
        <v>58</v>
      </c>
      <c r="J343" t="s">
        <v>481</v>
      </c>
      <c r="K343">
        <f t="shared" si="27"/>
        <v>1</v>
      </c>
      <c r="L343">
        <f t="shared" si="28"/>
        <v>0</v>
      </c>
      <c r="M343">
        <f t="shared" si="29"/>
        <v>1</v>
      </c>
    </row>
    <row r="344" spans="1:13">
      <c r="A344">
        <v>487</v>
      </c>
      <c r="B344" s="13">
        <v>42308</v>
      </c>
      <c r="C344">
        <f t="shared" si="25"/>
        <v>2015</v>
      </c>
      <c r="D344">
        <f t="shared" si="26"/>
        <v>10</v>
      </c>
      <c r="E344" t="s">
        <v>43</v>
      </c>
      <c r="F344" t="s">
        <v>67</v>
      </c>
      <c r="G344" s="14">
        <v>52759</v>
      </c>
      <c r="H344" t="s">
        <v>49</v>
      </c>
      <c r="I344" t="s">
        <v>96</v>
      </c>
      <c r="J344" t="s">
        <v>482</v>
      </c>
      <c r="K344">
        <f t="shared" si="27"/>
        <v>1</v>
      </c>
      <c r="L344">
        <f t="shared" si="28"/>
        <v>0</v>
      </c>
      <c r="M344">
        <f t="shared" si="29"/>
        <v>1</v>
      </c>
    </row>
    <row r="345" spans="1:13">
      <c r="A345">
        <v>491</v>
      </c>
      <c r="B345" s="13">
        <v>42310</v>
      </c>
      <c r="C345">
        <f t="shared" si="25"/>
        <v>2015</v>
      </c>
      <c r="D345">
        <f t="shared" si="26"/>
        <v>11</v>
      </c>
      <c r="E345" t="s">
        <v>47</v>
      </c>
      <c r="F345" t="s">
        <v>155</v>
      </c>
      <c r="G345" s="14">
        <v>66837</v>
      </c>
      <c r="H345" t="s">
        <v>53</v>
      </c>
      <c r="I345" t="s">
        <v>54</v>
      </c>
      <c r="J345" t="s">
        <v>483</v>
      </c>
      <c r="K345">
        <f t="shared" si="27"/>
        <v>1</v>
      </c>
      <c r="L345">
        <f t="shared" si="28"/>
        <v>0</v>
      </c>
      <c r="M345">
        <f t="shared" si="29"/>
        <v>1</v>
      </c>
    </row>
    <row r="346" spans="1:13">
      <c r="A346">
        <v>393</v>
      </c>
      <c r="B346" s="13">
        <v>42311</v>
      </c>
      <c r="C346">
        <f t="shared" si="25"/>
        <v>2015</v>
      </c>
      <c r="D346">
        <f t="shared" si="26"/>
        <v>11</v>
      </c>
      <c r="E346" t="s">
        <v>63</v>
      </c>
      <c r="F346" t="s">
        <v>105</v>
      </c>
      <c r="G346" s="14">
        <v>50645</v>
      </c>
      <c r="H346" t="s">
        <v>40</v>
      </c>
      <c r="I346" t="s">
        <v>142</v>
      </c>
      <c r="J346" t="s">
        <v>484</v>
      </c>
      <c r="K346">
        <f t="shared" si="27"/>
        <v>1</v>
      </c>
      <c r="L346">
        <f t="shared" si="28"/>
        <v>0</v>
      </c>
      <c r="M346">
        <f t="shared" si="29"/>
        <v>1</v>
      </c>
    </row>
    <row r="347" spans="1:13">
      <c r="A347">
        <v>368</v>
      </c>
      <c r="B347" s="13">
        <v>42312</v>
      </c>
      <c r="C347">
        <f t="shared" si="25"/>
        <v>2015</v>
      </c>
      <c r="D347">
        <f t="shared" si="26"/>
        <v>11</v>
      </c>
      <c r="E347" t="s">
        <v>38</v>
      </c>
      <c r="F347" t="s">
        <v>112</v>
      </c>
      <c r="G347" s="14">
        <v>71260</v>
      </c>
      <c r="H347" t="s">
        <v>49</v>
      </c>
      <c r="I347" t="s">
        <v>50</v>
      </c>
      <c r="J347" t="s">
        <v>485</v>
      </c>
      <c r="K347">
        <f t="shared" si="27"/>
        <v>1</v>
      </c>
      <c r="L347">
        <f t="shared" si="28"/>
        <v>0</v>
      </c>
      <c r="M347">
        <f t="shared" si="29"/>
        <v>1</v>
      </c>
    </row>
    <row r="348" spans="1:13">
      <c r="A348">
        <v>170</v>
      </c>
      <c r="B348" s="13">
        <v>42313</v>
      </c>
      <c r="C348">
        <f t="shared" si="25"/>
        <v>2015</v>
      </c>
      <c r="D348">
        <f t="shared" si="26"/>
        <v>11</v>
      </c>
      <c r="E348" t="s">
        <v>73</v>
      </c>
      <c r="F348" t="s">
        <v>102</v>
      </c>
      <c r="G348" s="14">
        <v>74135</v>
      </c>
      <c r="H348" t="s">
        <v>49</v>
      </c>
      <c r="I348" t="s">
        <v>50</v>
      </c>
      <c r="J348" t="s">
        <v>486</v>
      </c>
      <c r="K348">
        <f t="shared" si="27"/>
        <v>1</v>
      </c>
      <c r="L348">
        <f t="shared" si="28"/>
        <v>0</v>
      </c>
      <c r="M348">
        <f t="shared" si="29"/>
        <v>1</v>
      </c>
    </row>
    <row r="349" spans="1:13">
      <c r="A349">
        <v>852</v>
      </c>
      <c r="B349" s="13">
        <v>42313</v>
      </c>
      <c r="C349">
        <f t="shared" si="25"/>
        <v>2015</v>
      </c>
      <c r="D349">
        <f t="shared" si="26"/>
        <v>11</v>
      </c>
      <c r="E349" t="s">
        <v>73</v>
      </c>
      <c r="F349" t="s">
        <v>119</v>
      </c>
      <c r="G349" s="14">
        <v>42957</v>
      </c>
      <c r="H349" t="s">
        <v>60</v>
      </c>
      <c r="I349" t="s">
        <v>61</v>
      </c>
      <c r="J349" t="s">
        <v>487</v>
      </c>
      <c r="K349">
        <f t="shared" si="27"/>
        <v>1</v>
      </c>
      <c r="L349">
        <f t="shared" si="28"/>
        <v>0</v>
      </c>
      <c r="M349">
        <f t="shared" si="29"/>
        <v>1</v>
      </c>
    </row>
    <row r="350" spans="1:13">
      <c r="A350">
        <v>3</v>
      </c>
      <c r="B350" s="13">
        <v>42314</v>
      </c>
      <c r="C350">
        <f t="shared" si="25"/>
        <v>2015</v>
      </c>
      <c r="D350">
        <f t="shared" si="26"/>
        <v>11</v>
      </c>
      <c r="E350" t="s">
        <v>76</v>
      </c>
      <c r="F350" t="s">
        <v>77</v>
      </c>
      <c r="G350" s="14">
        <v>44942</v>
      </c>
      <c r="H350" t="s">
        <v>60</v>
      </c>
      <c r="I350" t="s">
        <v>61</v>
      </c>
      <c r="J350" t="s">
        <v>488</v>
      </c>
      <c r="K350">
        <f t="shared" si="27"/>
        <v>1</v>
      </c>
      <c r="L350">
        <f t="shared" si="28"/>
        <v>0</v>
      </c>
      <c r="M350">
        <f t="shared" si="29"/>
        <v>1</v>
      </c>
    </row>
    <row r="351" spans="1:13">
      <c r="A351">
        <v>548</v>
      </c>
      <c r="B351" s="13">
        <v>42314</v>
      </c>
      <c r="C351">
        <f t="shared" si="25"/>
        <v>2015</v>
      </c>
      <c r="D351">
        <f t="shared" si="26"/>
        <v>11</v>
      </c>
      <c r="E351" t="s">
        <v>94</v>
      </c>
      <c r="F351" t="s">
        <v>489</v>
      </c>
      <c r="G351" s="14">
        <v>46504</v>
      </c>
      <c r="H351" t="s">
        <v>57</v>
      </c>
      <c r="I351" t="s">
        <v>231</v>
      </c>
      <c r="J351" t="s">
        <v>490</v>
      </c>
      <c r="K351">
        <f t="shared" si="27"/>
        <v>1</v>
      </c>
      <c r="L351">
        <f t="shared" si="28"/>
        <v>0</v>
      </c>
      <c r="M351">
        <f t="shared" si="29"/>
        <v>1</v>
      </c>
    </row>
    <row r="352" spans="1:13">
      <c r="A352">
        <v>100</v>
      </c>
      <c r="B352" s="13">
        <v>42316</v>
      </c>
      <c r="C352">
        <f t="shared" si="25"/>
        <v>2015</v>
      </c>
      <c r="D352">
        <f t="shared" si="26"/>
        <v>11</v>
      </c>
      <c r="E352" t="s">
        <v>73</v>
      </c>
      <c r="F352" t="s">
        <v>102</v>
      </c>
      <c r="G352" s="14">
        <v>58381</v>
      </c>
      <c r="H352" t="s">
        <v>53</v>
      </c>
      <c r="I352" t="s">
        <v>78</v>
      </c>
      <c r="J352" t="s">
        <v>491</v>
      </c>
      <c r="K352">
        <f t="shared" si="27"/>
        <v>1</v>
      </c>
      <c r="L352">
        <f t="shared" si="28"/>
        <v>0</v>
      </c>
      <c r="M352">
        <f t="shared" si="29"/>
        <v>1</v>
      </c>
    </row>
    <row r="353" spans="1:13">
      <c r="A353">
        <v>192</v>
      </c>
      <c r="B353" s="13">
        <v>42316</v>
      </c>
      <c r="C353">
        <f t="shared" si="25"/>
        <v>2015</v>
      </c>
      <c r="D353">
        <f t="shared" si="26"/>
        <v>11</v>
      </c>
      <c r="E353" t="s">
        <v>43</v>
      </c>
      <c r="F353" t="s">
        <v>44</v>
      </c>
      <c r="G353" s="14">
        <v>59012</v>
      </c>
      <c r="H353" t="s">
        <v>57</v>
      </c>
      <c r="I353" t="s">
        <v>231</v>
      </c>
      <c r="J353" t="s">
        <v>492</v>
      </c>
      <c r="K353">
        <f t="shared" si="27"/>
        <v>1</v>
      </c>
      <c r="L353">
        <f t="shared" si="28"/>
        <v>0</v>
      </c>
      <c r="M353">
        <f t="shared" si="29"/>
        <v>1</v>
      </c>
    </row>
    <row r="354" spans="1:13">
      <c r="A354">
        <v>534</v>
      </c>
      <c r="B354" s="13">
        <v>42318</v>
      </c>
      <c r="C354">
        <f t="shared" si="25"/>
        <v>2015</v>
      </c>
      <c r="D354">
        <f t="shared" si="26"/>
        <v>11</v>
      </c>
      <c r="E354" t="s">
        <v>47</v>
      </c>
      <c r="F354" t="s">
        <v>136</v>
      </c>
      <c r="G354" s="14">
        <v>66536</v>
      </c>
      <c r="H354" t="s">
        <v>60</v>
      </c>
      <c r="I354" t="s">
        <v>199</v>
      </c>
      <c r="J354" t="s">
        <v>493</v>
      </c>
      <c r="K354">
        <f t="shared" si="27"/>
        <v>1</v>
      </c>
      <c r="L354">
        <f t="shared" si="28"/>
        <v>0</v>
      </c>
      <c r="M354">
        <f t="shared" si="29"/>
        <v>1</v>
      </c>
    </row>
    <row r="355" spans="1:13">
      <c r="A355">
        <v>462</v>
      </c>
      <c r="B355" s="13">
        <v>42320</v>
      </c>
      <c r="C355">
        <f t="shared" si="25"/>
        <v>2015</v>
      </c>
      <c r="D355">
        <f t="shared" si="26"/>
        <v>11</v>
      </c>
      <c r="E355" t="s">
        <v>73</v>
      </c>
      <c r="F355" t="s">
        <v>102</v>
      </c>
      <c r="G355" s="14">
        <v>56111</v>
      </c>
      <c r="H355" t="s">
        <v>53</v>
      </c>
      <c r="I355" t="s">
        <v>120</v>
      </c>
      <c r="J355" t="s">
        <v>494</v>
      </c>
      <c r="K355">
        <f t="shared" si="27"/>
        <v>1</v>
      </c>
      <c r="L355">
        <f t="shared" si="28"/>
        <v>0</v>
      </c>
      <c r="M355">
        <f t="shared" si="29"/>
        <v>1</v>
      </c>
    </row>
    <row r="356" spans="1:13">
      <c r="A356">
        <v>420</v>
      </c>
      <c r="B356" s="13">
        <v>42321</v>
      </c>
      <c r="C356">
        <f t="shared" si="25"/>
        <v>2015</v>
      </c>
      <c r="D356">
        <f t="shared" si="26"/>
        <v>11</v>
      </c>
      <c r="E356" t="s">
        <v>73</v>
      </c>
      <c r="F356" t="s">
        <v>102</v>
      </c>
      <c r="G356" s="14">
        <v>77436</v>
      </c>
      <c r="H356" t="s">
        <v>53</v>
      </c>
      <c r="I356" t="s">
        <v>92</v>
      </c>
      <c r="J356" t="s">
        <v>495</v>
      </c>
      <c r="K356">
        <f t="shared" si="27"/>
        <v>1</v>
      </c>
      <c r="L356">
        <f t="shared" si="28"/>
        <v>0</v>
      </c>
      <c r="M356">
        <f t="shared" si="29"/>
        <v>1</v>
      </c>
    </row>
    <row r="357" spans="1:13">
      <c r="A357">
        <v>528</v>
      </c>
      <c r="B357" s="13">
        <v>42323</v>
      </c>
      <c r="C357">
        <f t="shared" si="25"/>
        <v>2015</v>
      </c>
      <c r="D357">
        <f t="shared" si="26"/>
        <v>11</v>
      </c>
      <c r="E357" t="s">
        <v>73</v>
      </c>
      <c r="F357" t="s">
        <v>102</v>
      </c>
      <c r="G357" s="14">
        <v>61983</v>
      </c>
      <c r="H357" t="s">
        <v>81</v>
      </c>
      <c r="I357" t="s">
        <v>153</v>
      </c>
      <c r="J357" t="s">
        <v>496</v>
      </c>
      <c r="K357">
        <f t="shared" si="27"/>
        <v>1</v>
      </c>
      <c r="L357">
        <f t="shared" si="28"/>
        <v>0</v>
      </c>
      <c r="M357">
        <f t="shared" si="29"/>
        <v>1</v>
      </c>
    </row>
    <row r="358" spans="1:13">
      <c r="A358">
        <v>565</v>
      </c>
      <c r="B358" s="13">
        <v>42324</v>
      </c>
      <c r="C358">
        <f t="shared" si="25"/>
        <v>2015</v>
      </c>
      <c r="D358">
        <f t="shared" si="26"/>
        <v>11</v>
      </c>
      <c r="E358" t="s">
        <v>38</v>
      </c>
      <c r="F358" t="s">
        <v>227</v>
      </c>
      <c r="G358" s="14">
        <v>56305</v>
      </c>
      <c r="H358" t="s">
        <v>60</v>
      </c>
      <c r="I358" t="s">
        <v>114</v>
      </c>
      <c r="J358" t="s">
        <v>497</v>
      </c>
      <c r="K358">
        <f t="shared" si="27"/>
        <v>1</v>
      </c>
      <c r="L358">
        <f t="shared" si="28"/>
        <v>0</v>
      </c>
      <c r="M358">
        <f t="shared" si="29"/>
        <v>1</v>
      </c>
    </row>
    <row r="359" spans="1:13">
      <c r="A359">
        <v>20</v>
      </c>
      <c r="B359" s="13">
        <v>42325</v>
      </c>
      <c r="C359">
        <f t="shared" si="25"/>
        <v>2015</v>
      </c>
      <c r="D359">
        <f t="shared" si="26"/>
        <v>11</v>
      </c>
      <c r="E359" t="s">
        <v>38</v>
      </c>
      <c r="F359" t="s">
        <v>236</v>
      </c>
      <c r="G359" s="14">
        <v>45594</v>
      </c>
      <c r="H359" t="s">
        <v>53</v>
      </c>
      <c r="I359" t="s">
        <v>54</v>
      </c>
      <c r="J359" t="s">
        <v>498</v>
      </c>
      <c r="K359">
        <f t="shared" si="27"/>
        <v>1</v>
      </c>
      <c r="L359">
        <f t="shared" si="28"/>
        <v>0</v>
      </c>
      <c r="M359">
        <f t="shared" si="29"/>
        <v>1</v>
      </c>
    </row>
    <row r="360" spans="1:13">
      <c r="A360">
        <v>564</v>
      </c>
      <c r="B360" s="13">
        <v>42325</v>
      </c>
      <c r="C360">
        <f t="shared" si="25"/>
        <v>2015</v>
      </c>
      <c r="D360">
        <f t="shared" si="26"/>
        <v>11</v>
      </c>
      <c r="E360" t="s">
        <v>76</v>
      </c>
      <c r="F360" t="s">
        <v>110</v>
      </c>
      <c r="G360" s="14">
        <v>53251</v>
      </c>
      <c r="H360" t="s">
        <v>53</v>
      </c>
      <c r="I360" t="s">
        <v>120</v>
      </c>
      <c r="J360" t="s">
        <v>499</v>
      </c>
      <c r="K360">
        <f t="shared" si="27"/>
        <v>1</v>
      </c>
      <c r="L360">
        <f t="shared" si="28"/>
        <v>0</v>
      </c>
      <c r="M360">
        <f t="shared" si="29"/>
        <v>1</v>
      </c>
    </row>
    <row r="361" spans="1:13">
      <c r="A361">
        <v>818</v>
      </c>
      <c r="B361" s="13">
        <v>42327</v>
      </c>
      <c r="C361">
        <f t="shared" si="25"/>
        <v>2015</v>
      </c>
      <c r="D361">
        <f t="shared" si="26"/>
        <v>11</v>
      </c>
      <c r="E361" t="s">
        <v>76</v>
      </c>
      <c r="F361" t="s">
        <v>138</v>
      </c>
      <c r="G361" s="14">
        <v>63439</v>
      </c>
      <c r="H361" t="s">
        <v>57</v>
      </c>
      <c r="I361" t="s">
        <v>106</v>
      </c>
      <c r="J361" t="s">
        <v>500</v>
      </c>
      <c r="K361">
        <f t="shared" si="27"/>
        <v>1</v>
      </c>
      <c r="L361">
        <f t="shared" si="28"/>
        <v>0</v>
      </c>
      <c r="M361">
        <f t="shared" si="29"/>
        <v>1</v>
      </c>
    </row>
    <row r="362" spans="1:13">
      <c r="A362">
        <v>494</v>
      </c>
      <c r="B362" s="13">
        <v>42337</v>
      </c>
      <c r="C362">
        <f t="shared" si="25"/>
        <v>2015</v>
      </c>
      <c r="D362">
        <f t="shared" si="26"/>
        <v>11</v>
      </c>
      <c r="E362" t="s">
        <v>47</v>
      </c>
      <c r="F362" t="s">
        <v>52</v>
      </c>
      <c r="G362" s="14">
        <v>59475.13</v>
      </c>
      <c r="H362" t="s">
        <v>40</v>
      </c>
      <c r="I362" t="s">
        <v>45</v>
      </c>
      <c r="J362" t="s">
        <v>501</v>
      </c>
      <c r="K362">
        <f t="shared" si="27"/>
        <v>1</v>
      </c>
      <c r="L362">
        <f t="shared" si="28"/>
        <v>0</v>
      </c>
      <c r="M362">
        <f t="shared" si="29"/>
        <v>1</v>
      </c>
    </row>
    <row r="363" spans="1:13">
      <c r="A363">
        <v>255</v>
      </c>
      <c r="B363" s="13">
        <v>42341</v>
      </c>
      <c r="C363">
        <f t="shared" si="25"/>
        <v>2015</v>
      </c>
      <c r="D363">
        <f t="shared" si="26"/>
        <v>12</v>
      </c>
      <c r="E363" t="s">
        <v>76</v>
      </c>
      <c r="F363" t="s">
        <v>91</v>
      </c>
      <c r="G363" s="14">
        <v>70309</v>
      </c>
      <c r="H363" t="s">
        <v>40</v>
      </c>
      <c r="I363" t="s">
        <v>158</v>
      </c>
      <c r="J363" t="s">
        <v>502</v>
      </c>
      <c r="K363">
        <f t="shared" si="27"/>
        <v>1</v>
      </c>
      <c r="L363">
        <f t="shared" si="28"/>
        <v>0</v>
      </c>
      <c r="M363">
        <f t="shared" si="29"/>
        <v>1</v>
      </c>
    </row>
    <row r="364" spans="1:13">
      <c r="A364">
        <v>410</v>
      </c>
      <c r="B364" s="13">
        <v>42342</v>
      </c>
      <c r="C364">
        <f t="shared" si="25"/>
        <v>2015</v>
      </c>
      <c r="D364">
        <f t="shared" si="26"/>
        <v>12</v>
      </c>
      <c r="E364" t="s">
        <v>47</v>
      </c>
      <c r="F364" t="s">
        <v>48</v>
      </c>
      <c r="G364" s="14">
        <v>78140</v>
      </c>
      <c r="H364" t="s">
        <v>40</v>
      </c>
      <c r="I364" t="s">
        <v>45</v>
      </c>
      <c r="J364" t="s">
        <v>503</v>
      </c>
      <c r="K364">
        <f t="shared" si="27"/>
        <v>1</v>
      </c>
      <c r="L364">
        <f t="shared" si="28"/>
        <v>0</v>
      </c>
      <c r="M364">
        <f t="shared" si="29"/>
        <v>1</v>
      </c>
    </row>
    <row r="365" spans="1:13">
      <c r="A365">
        <v>436</v>
      </c>
      <c r="B365" s="13">
        <v>42354</v>
      </c>
      <c r="C365">
        <f t="shared" si="25"/>
        <v>2015</v>
      </c>
      <c r="D365">
        <f t="shared" si="26"/>
        <v>12</v>
      </c>
      <c r="E365" t="s">
        <v>73</v>
      </c>
      <c r="F365" t="s">
        <v>223</v>
      </c>
      <c r="G365" s="14">
        <v>75921</v>
      </c>
      <c r="H365" t="s">
        <v>60</v>
      </c>
      <c r="I365" t="s">
        <v>61</v>
      </c>
      <c r="J365" t="s">
        <v>504</v>
      </c>
      <c r="K365">
        <f t="shared" si="27"/>
        <v>1</v>
      </c>
      <c r="L365">
        <f t="shared" si="28"/>
        <v>0</v>
      </c>
      <c r="M365">
        <f t="shared" si="29"/>
        <v>1</v>
      </c>
    </row>
    <row r="366" spans="1:13">
      <c r="A366">
        <v>874</v>
      </c>
      <c r="B366" s="13">
        <v>42356</v>
      </c>
      <c r="C366">
        <f t="shared" si="25"/>
        <v>2015</v>
      </c>
      <c r="D366">
        <f t="shared" si="26"/>
        <v>12</v>
      </c>
      <c r="E366" t="s">
        <v>73</v>
      </c>
      <c r="F366" t="s">
        <v>74</v>
      </c>
      <c r="G366" s="14">
        <v>75559</v>
      </c>
      <c r="H366" t="s">
        <v>40</v>
      </c>
      <c r="I366" t="s">
        <v>144</v>
      </c>
      <c r="J366" t="s">
        <v>505</v>
      </c>
      <c r="K366">
        <f t="shared" si="27"/>
        <v>1</v>
      </c>
      <c r="L366">
        <f t="shared" si="28"/>
        <v>0</v>
      </c>
      <c r="M366">
        <f t="shared" si="29"/>
        <v>1</v>
      </c>
    </row>
    <row r="367" spans="1:13">
      <c r="A367">
        <v>638</v>
      </c>
      <c r="B367" s="13">
        <v>42357</v>
      </c>
      <c r="C367">
        <f t="shared" si="25"/>
        <v>2015</v>
      </c>
      <c r="D367">
        <f t="shared" si="26"/>
        <v>12</v>
      </c>
      <c r="E367" t="s">
        <v>76</v>
      </c>
      <c r="F367" t="s">
        <v>91</v>
      </c>
      <c r="G367" s="14">
        <v>79818</v>
      </c>
      <c r="H367" t="s">
        <v>81</v>
      </c>
      <c r="I367" t="s">
        <v>190</v>
      </c>
      <c r="J367" t="s">
        <v>506</v>
      </c>
      <c r="K367">
        <f t="shared" si="27"/>
        <v>1</v>
      </c>
      <c r="L367">
        <f t="shared" si="28"/>
        <v>0</v>
      </c>
      <c r="M367">
        <f t="shared" si="29"/>
        <v>1</v>
      </c>
    </row>
    <row r="368" spans="1:13">
      <c r="A368">
        <v>800</v>
      </c>
      <c r="B368" s="13">
        <v>42357</v>
      </c>
      <c r="C368">
        <f t="shared" si="25"/>
        <v>2015</v>
      </c>
      <c r="D368">
        <f t="shared" si="26"/>
        <v>12</v>
      </c>
      <c r="E368" t="s">
        <v>73</v>
      </c>
      <c r="F368" t="s">
        <v>74</v>
      </c>
      <c r="G368" s="14">
        <v>48865</v>
      </c>
      <c r="H368" t="s">
        <v>53</v>
      </c>
      <c r="I368" t="s">
        <v>78</v>
      </c>
      <c r="J368" t="s">
        <v>507</v>
      </c>
      <c r="K368">
        <f t="shared" si="27"/>
        <v>1</v>
      </c>
      <c r="L368">
        <f t="shared" si="28"/>
        <v>0</v>
      </c>
      <c r="M368">
        <f t="shared" si="29"/>
        <v>1</v>
      </c>
    </row>
    <row r="369" spans="1:13">
      <c r="A369">
        <v>83</v>
      </c>
      <c r="B369" s="13">
        <v>42363</v>
      </c>
      <c r="C369">
        <f t="shared" si="25"/>
        <v>2015</v>
      </c>
      <c r="D369">
        <f t="shared" si="26"/>
        <v>12</v>
      </c>
      <c r="E369" t="s">
        <v>38</v>
      </c>
      <c r="F369" t="s">
        <v>56</v>
      </c>
      <c r="G369" s="14">
        <v>65480</v>
      </c>
      <c r="H369" t="s">
        <v>53</v>
      </c>
      <c r="I369" t="s">
        <v>68</v>
      </c>
      <c r="J369" t="s">
        <v>508</v>
      </c>
      <c r="K369">
        <f t="shared" si="27"/>
        <v>1</v>
      </c>
      <c r="L369">
        <f t="shared" si="28"/>
        <v>0</v>
      </c>
      <c r="M369">
        <f t="shared" si="29"/>
        <v>1</v>
      </c>
    </row>
    <row r="370" spans="1:13">
      <c r="A370">
        <v>798</v>
      </c>
      <c r="B370" s="13">
        <v>42367</v>
      </c>
      <c r="C370">
        <f t="shared" si="25"/>
        <v>2015</v>
      </c>
      <c r="D370">
        <f t="shared" si="26"/>
        <v>12</v>
      </c>
      <c r="E370" t="s">
        <v>47</v>
      </c>
      <c r="F370" t="s">
        <v>272</v>
      </c>
      <c r="G370" s="14">
        <v>40321</v>
      </c>
      <c r="H370" t="s">
        <v>49</v>
      </c>
      <c r="I370" t="s">
        <v>50</v>
      </c>
      <c r="J370" t="s">
        <v>509</v>
      </c>
      <c r="K370">
        <f t="shared" si="27"/>
        <v>1</v>
      </c>
      <c r="L370">
        <f t="shared" si="28"/>
        <v>0</v>
      </c>
      <c r="M370">
        <f t="shared" si="29"/>
        <v>1</v>
      </c>
    </row>
    <row r="371" spans="1:13">
      <c r="A371">
        <v>622</v>
      </c>
      <c r="B371" s="13">
        <v>42369</v>
      </c>
      <c r="C371">
        <f t="shared" si="25"/>
        <v>2015</v>
      </c>
      <c r="D371">
        <f t="shared" si="26"/>
        <v>12</v>
      </c>
      <c r="E371" t="s">
        <v>76</v>
      </c>
      <c r="F371" t="s">
        <v>77</v>
      </c>
      <c r="G371" s="14">
        <v>67852</v>
      </c>
      <c r="H371" t="s">
        <v>57</v>
      </c>
      <c r="I371" t="s">
        <v>65</v>
      </c>
      <c r="J371" t="s">
        <v>510</v>
      </c>
      <c r="K371">
        <f t="shared" si="27"/>
        <v>1</v>
      </c>
      <c r="L371">
        <f t="shared" si="28"/>
        <v>0</v>
      </c>
      <c r="M371">
        <f t="shared" si="29"/>
        <v>1</v>
      </c>
    </row>
    <row r="372" spans="1:13">
      <c r="A372">
        <v>126</v>
      </c>
      <c r="B372" s="13">
        <v>42371</v>
      </c>
      <c r="C372">
        <f t="shared" si="25"/>
        <v>2016</v>
      </c>
      <c r="D372">
        <f t="shared" si="26"/>
        <v>1</v>
      </c>
      <c r="E372" t="s">
        <v>73</v>
      </c>
      <c r="F372" t="s">
        <v>119</v>
      </c>
      <c r="G372" s="14">
        <v>40839</v>
      </c>
      <c r="H372" t="s">
        <v>49</v>
      </c>
      <c r="I372" t="s">
        <v>103</v>
      </c>
      <c r="J372" t="s">
        <v>511</v>
      </c>
      <c r="K372">
        <f t="shared" si="27"/>
        <v>1</v>
      </c>
      <c r="L372">
        <f t="shared" si="28"/>
        <v>0</v>
      </c>
      <c r="M372">
        <f t="shared" si="29"/>
        <v>1</v>
      </c>
    </row>
    <row r="373" spans="1:13">
      <c r="A373">
        <v>4</v>
      </c>
      <c r="B373" s="13">
        <v>42379</v>
      </c>
      <c r="C373">
        <f t="shared" si="25"/>
        <v>2016</v>
      </c>
      <c r="D373">
        <f t="shared" si="26"/>
        <v>1</v>
      </c>
      <c r="E373" t="s">
        <v>43</v>
      </c>
      <c r="F373" t="s">
        <v>67</v>
      </c>
      <c r="G373" s="14">
        <v>42943</v>
      </c>
      <c r="H373" t="s">
        <v>49</v>
      </c>
      <c r="I373" t="s">
        <v>103</v>
      </c>
      <c r="J373" t="s">
        <v>512</v>
      </c>
      <c r="K373">
        <f t="shared" si="27"/>
        <v>1</v>
      </c>
      <c r="L373">
        <f t="shared" si="28"/>
        <v>0</v>
      </c>
      <c r="M373">
        <f t="shared" si="29"/>
        <v>1</v>
      </c>
    </row>
    <row r="374" spans="1:13">
      <c r="A374">
        <v>404</v>
      </c>
      <c r="B374" s="13">
        <v>42379</v>
      </c>
      <c r="C374">
        <f t="shared" si="25"/>
        <v>2016</v>
      </c>
      <c r="D374">
        <f t="shared" si="26"/>
        <v>1</v>
      </c>
      <c r="E374" t="s">
        <v>94</v>
      </c>
      <c r="F374" t="s">
        <v>489</v>
      </c>
      <c r="G374" s="14">
        <v>61504</v>
      </c>
      <c r="H374" t="s">
        <v>81</v>
      </c>
      <c r="I374" t="s">
        <v>82</v>
      </c>
      <c r="J374" t="s">
        <v>513</v>
      </c>
      <c r="K374">
        <f t="shared" si="27"/>
        <v>1</v>
      </c>
      <c r="L374">
        <f t="shared" si="28"/>
        <v>0</v>
      </c>
      <c r="M374">
        <f t="shared" si="29"/>
        <v>1</v>
      </c>
    </row>
    <row r="375" spans="1:13">
      <c r="A375">
        <v>890</v>
      </c>
      <c r="B375" s="13">
        <v>42384</v>
      </c>
      <c r="C375">
        <f t="shared" si="25"/>
        <v>2016</v>
      </c>
      <c r="D375">
        <f t="shared" si="26"/>
        <v>1</v>
      </c>
      <c r="E375" t="s">
        <v>47</v>
      </c>
      <c r="F375" t="s">
        <v>48</v>
      </c>
      <c r="G375" s="14">
        <v>72512</v>
      </c>
      <c r="H375" t="s">
        <v>57</v>
      </c>
      <c r="I375" t="s">
        <v>231</v>
      </c>
      <c r="J375" t="s">
        <v>514</v>
      </c>
      <c r="K375">
        <f t="shared" si="27"/>
        <v>1</v>
      </c>
      <c r="L375">
        <f t="shared" si="28"/>
        <v>0</v>
      </c>
      <c r="M375">
        <f t="shared" si="29"/>
        <v>1</v>
      </c>
    </row>
    <row r="376" spans="1:13">
      <c r="A376">
        <v>655</v>
      </c>
      <c r="B376" s="13">
        <v>42387</v>
      </c>
      <c r="C376">
        <f t="shared" si="25"/>
        <v>2016</v>
      </c>
      <c r="D376">
        <f t="shared" si="26"/>
        <v>1</v>
      </c>
      <c r="E376" t="s">
        <v>38</v>
      </c>
      <c r="F376" t="s">
        <v>80</v>
      </c>
      <c r="G376" s="14">
        <v>72407</v>
      </c>
      <c r="H376" t="s">
        <v>60</v>
      </c>
      <c r="I376" t="s">
        <v>114</v>
      </c>
      <c r="J376" t="s">
        <v>515</v>
      </c>
      <c r="K376">
        <f t="shared" si="27"/>
        <v>1</v>
      </c>
      <c r="L376">
        <f t="shared" si="28"/>
        <v>0</v>
      </c>
      <c r="M376">
        <f t="shared" si="29"/>
        <v>1</v>
      </c>
    </row>
    <row r="377" spans="1:13">
      <c r="A377">
        <v>290</v>
      </c>
      <c r="B377" s="13">
        <v>42388</v>
      </c>
      <c r="C377">
        <f t="shared" si="25"/>
        <v>2016</v>
      </c>
      <c r="D377">
        <f t="shared" si="26"/>
        <v>1</v>
      </c>
      <c r="E377" t="s">
        <v>73</v>
      </c>
      <c r="F377" t="s">
        <v>140</v>
      </c>
      <c r="G377" s="14">
        <v>51534</v>
      </c>
      <c r="H377" t="s">
        <v>49</v>
      </c>
      <c r="I377" t="s">
        <v>96</v>
      </c>
      <c r="J377" t="s">
        <v>516</v>
      </c>
      <c r="K377">
        <f t="shared" si="27"/>
        <v>1</v>
      </c>
      <c r="L377">
        <f t="shared" si="28"/>
        <v>0</v>
      </c>
      <c r="M377">
        <f t="shared" si="29"/>
        <v>1</v>
      </c>
    </row>
    <row r="378" spans="1:13">
      <c r="A378">
        <v>667</v>
      </c>
      <c r="B378" s="13">
        <v>42389</v>
      </c>
      <c r="C378">
        <f t="shared" si="25"/>
        <v>2016</v>
      </c>
      <c r="D378">
        <f t="shared" si="26"/>
        <v>1</v>
      </c>
      <c r="E378" t="s">
        <v>73</v>
      </c>
      <c r="F378" t="s">
        <v>74</v>
      </c>
      <c r="G378" s="14">
        <v>40089</v>
      </c>
      <c r="H378" t="s">
        <v>81</v>
      </c>
      <c r="I378" t="s">
        <v>190</v>
      </c>
      <c r="J378" t="s">
        <v>517</v>
      </c>
      <c r="K378">
        <f t="shared" si="27"/>
        <v>1</v>
      </c>
      <c r="L378">
        <f t="shared" si="28"/>
        <v>0</v>
      </c>
      <c r="M378">
        <f t="shared" si="29"/>
        <v>1</v>
      </c>
    </row>
    <row r="379" spans="1:13">
      <c r="A379">
        <v>751</v>
      </c>
      <c r="B379" s="13">
        <v>42390</v>
      </c>
      <c r="C379">
        <f t="shared" si="25"/>
        <v>2016</v>
      </c>
      <c r="D379">
        <f t="shared" si="26"/>
        <v>1</v>
      </c>
      <c r="E379" t="s">
        <v>43</v>
      </c>
      <c r="F379" t="s">
        <v>70</v>
      </c>
      <c r="G379" s="14">
        <v>56334</v>
      </c>
      <c r="H379" t="s">
        <v>40</v>
      </c>
      <c r="I379" t="s">
        <v>88</v>
      </c>
      <c r="J379" t="s">
        <v>518</v>
      </c>
      <c r="K379">
        <f t="shared" si="27"/>
        <v>1</v>
      </c>
      <c r="L379">
        <f t="shared" si="28"/>
        <v>0</v>
      </c>
      <c r="M379">
        <f t="shared" si="29"/>
        <v>1</v>
      </c>
    </row>
    <row r="380" spans="1:13">
      <c r="A380">
        <v>362</v>
      </c>
      <c r="B380" s="13">
        <v>42398</v>
      </c>
      <c r="C380">
        <f t="shared" si="25"/>
        <v>2016</v>
      </c>
      <c r="D380">
        <f t="shared" si="26"/>
        <v>1</v>
      </c>
      <c r="E380" t="s">
        <v>47</v>
      </c>
      <c r="F380" t="s">
        <v>132</v>
      </c>
      <c r="G380" s="14">
        <v>47391</v>
      </c>
      <c r="H380" t="s">
        <v>53</v>
      </c>
      <c r="I380" t="s">
        <v>78</v>
      </c>
      <c r="J380" t="s">
        <v>519</v>
      </c>
      <c r="K380">
        <f t="shared" si="27"/>
        <v>1</v>
      </c>
      <c r="L380">
        <f t="shared" si="28"/>
        <v>0</v>
      </c>
      <c r="M380">
        <f t="shared" si="29"/>
        <v>1</v>
      </c>
    </row>
    <row r="381" spans="1:13">
      <c r="A381">
        <v>133</v>
      </c>
      <c r="B381" s="13">
        <v>42399</v>
      </c>
      <c r="C381">
        <f t="shared" si="25"/>
        <v>2016</v>
      </c>
      <c r="D381">
        <f t="shared" si="26"/>
        <v>1</v>
      </c>
      <c r="E381" t="s">
        <v>94</v>
      </c>
      <c r="F381" t="s">
        <v>95</v>
      </c>
      <c r="G381" s="14">
        <v>79008</v>
      </c>
      <c r="H381" t="s">
        <v>81</v>
      </c>
      <c r="I381" t="s">
        <v>146</v>
      </c>
      <c r="J381" t="s">
        <v>520</v>
      </c>
      <c r="K381">
        <f t="shared" si="27"/>
        <v>1</v>
      </c>
      <c r="L381">
        <f t="shared" si="28"/>
        <v>0</v>
      </c>
      <c r="M381">
        <f t="shared" si="29"/>
        <v>1</v>
      </c>
    </row>
    <row r="382" spans="1:13">
      <c r="A382">
        <v>331</v>
      </c>
      <c r="B382" s="13">
        <v>42399</v>
      </c>
      <c r="C382">
        <f t="shared" si="25"/>
        <v>2016</v>
      </c>
      <c r="D382">
        <f t="shared" si="26"/>
        <v>1</v>
      </c>
      <c r="E382" t="s">
        <v>73</v>
      </c>
      <c r="F382" t="s">
        <v>140</v>
      </c>
      <c r="G382" s="14">
        <v>61554</v>
      </c>
      <c r="H382" t="s">
        <v>60</v>
      </c>
      <c r="I382" t="s">
        <v>188</v>
      </c>
      <c r="J382" t="s">
        <v>521</v>
      </c>
      <c r="K382">
        <f t="shared" si="27"/>
        <v>1</v>
      </c>
      <c r="L382">
        <f t="shared" si="28"/>
        <v>0</v>
      </c>
      <c r="M382">
        <f t="shared" si="29"/>
        <v>1</v>
      </c>
    </row>
    <row r="383" spans="1:13">
      <c r="A383">
        <v>421</v>
      </c>
      <c r="B383" s="13">
        <v>42399</v>
      </c>
      <c r="C383">
        <f t="shared" si="25"/>
        <v>2016</v>
      </c>
      <c r="D383">
        <f t="shared" si="26"/>
        <v>1</v>
      </c>
      <c r="E383" t="s">
        <v>73</v>
      </c>
      <c r="F383" t="s">
        <v>74</v>
      </c>
      <c r="G383" s="14">
        <v>62851</v>
      </c>
      <c r="H383" t="s">
        <v>40</v>
      </c>
      <c r="I383" t="s">
        <v>45</v>
      </c>
      <c r="J383" t="s">
        <v>522</v>
      </c>
      <c r="K383">
        <f t="shared" si="27"/>
        <v>1</v>
      </c>
      <c r="L383">
        <f t="shared" si="28"/>
        <v>0</v>
      </c>
      <c r="M383">
        <f t="shared" si="29"/>
        <v>1</v>
      </c>
    </row>
    <row r="384" spans="1:13">
      <c r="A384">
        <v>770</v>
      </c>
      <c r="B384" s="13">
        <v>42400</v>
      </c>
      <c r="C384">
        <f t="shared" si="25"/>
        <v>2016</v>
      </c>
      <c r="D384">
        <f t="shared" si="26"/>
        <v>1</v>
      </c>
      <c r="E384" t="s">
        <v>43</v>
      </c>
      <c r="F384" t="s">
        <v>197</v>
      </c>
      <c r="G384" s="14">
        <v>78494</v>
      </c>
      <c r="H384" t="s">
        <v>60</v>
      </c>
      <c r="I384" t="s">
        <v>199</v>
      </c>
      <c r="J384" t="s">
        <v>523</v>
      </c>
      <c r="K384">
        <f t="shared" si="27"/>
        <v>1</v>
      </c>
      <c r="L384">
        <f t="shared" si="28"/>
        <v>0</v>
      </c>
      <c r="M384">
        <f t="shared" si="29"/>
        <v>1</v>
      </c>
    </row>
    <row r="385" spans="1:13">
      <c r="A385">
        <v>581</v>
      </c>
      <c r="B385" s="13">
        <v>42401</v>
      </c>
      <c r="C385">
        <f t="shared" si="25"/>
        <v>2016</v>
      </c>
      <c r="D385">
        <f t="shared" si="26"/>
        <v>2</v>
      </c>
      <c r="E385" t="s">
        <v>38</v>
      </c>
      <c r="F385" t="s">
        <v>126</v>
      </c>
      <c r="G385" s="14">
        <v>53365</v>
      </c>
      <c r="H385" t="s">
        <v>81</v>
      </c>
      <c r="I385" t="s">
        <v>190</v>
      </c>
      <c r="J385" t="s">
        <v>524</v>
      </c>
      <c r="K385">
        <f t="shared" si="27"/>
        <v>1</v>
      </c>
      <c r="L385">
        <f t="shared" si="28"/>
        <v>0</v>
      </c>
      <c r="M385">
        <f t="shared" si="29"/>
        <v>1</v>
      </c>
    </row>
    <row r="386" spans="1:13">
      <c r="A386">
        <v>724</v>
      </c>
      <c r="B386" s="13">
        <v>42408</v>
      </c>
      <c r="C386">
        <f t="shared" ref="C386:C449" si="30">YEAR(B386)</f>
        <v>2016</v>
      </c>
      <c r="D386">
        <f t="shared" ref="D386:D449" si="31">MONTH(B386)</f>
        <v>2</v>
      </c>
      <c r="E386" t="s">
        <v>47</v>
      </c>
      <c r="F386" t="s">
        <v>48</v>
      </c>
      <c r="G386" s="14">
        <v>58029</v>
      </c>
      <c r="H386" t="s">
        <v>53</v>
      </c>
      <c r="I386" t="s">
        <v>120</v>
      </c>
      <c r="J386" t="s">
        <v>525</v>
      </c>
      <c r="K386">
        <f t="shared" ref="K386:K449" si="32">IF(AND(OR(sel_ano="Todos",C386=sel_ano),OR(sel_pais="Todos",H386=sel_pais),OR(sel_marca="Todas",E386=sel_marca)),1,0)</f>
        <v>1</v>
      </c>
      <c r="L386">
        <f t="shared" ref="L386:L449" si="33">IF(sel_ano="Todos",0,IF(AND(C386=sel_ano-1,OR(sel_pais="Todos",H386=sel_pais),OR(sel_marca="Todas",E386=sel_marca)),1,0))</f>
        <v>0</v>
      </c>
      <c r="M386">
        <f t="shared" ref="M386:M449" si="34">IF(AND(OR(sel_pais="Todos",H386=sel_pais),OR(sel_marca="Todas",E386=sel_marca)),1,0)</f>
        <v>1</v>
      </c>
    </row>
    <row r="387" spans="1:13">
      <c r="A387">
        <v>637</v>
      </c>
      <c r="B387" s="13">
        <v>42413</v>
      </c>
      <c r="C387">
        <f t="shared" si="30"/>
        <v>2016</v>
      </c>
      <c r="D387">
        <f t="shared" si="31"/>
        <v>2</v>
      </c>
      <c r="E387" t="s">
        <v>47</v>
      </c>
      <c r="F387" t="s">
        <v>136</v>
      </c>
      <c r="G387" s="14">
        <v>68233</v>
      </c>
      <c r="H387" t="s">
        <v>49</v>
      </c>
      <c r="I387" t="s">
        <v>50</v>
      </c>
      <c r="J387" t="s">
        <v>526</v>
      </c>
      <c r="K387">
        <f t="shared" si="32"/>
        <v>1</v>
      </c>
      <c r="L387">
        <f t="shared" si="33"/>
        <v>0</v>
      </c>
      <c r="M387">
        <f t="shared" si="34"/>
        <v>1</v>
      </c>
    </row>
    <row r="388" spans="1:13">
      <c r="A388">
        <v>693</v>
      </c>
      <c r="B388" s="13">
        <v>42416</v>
      </c>
      <c r="C388">
        <f t="shared" si="30"/>
        <v>2016</v>
      </c>
      <c r="D388">
        <f t="shared" si="31"/>
        <v>2</v>
      </c>
      <c r="E388" t="s">
        <v>73</v>
      </c>
      <c r="F388" t="s">
        <v>102</v>
      </c>
      <c r="G388" s="14">
        <v>65311</v>
      </c>
      <c r="H388" t="s">
        <v>60</v>
      </c>
      <c r="I388" t="s">
        <v>199</v>
      </c>
      <c r="J388" t="s">
        <v>527</v>
      </c>
      <c r="K388">
        <f t="shared" si="32"/>
        <v>1</v>
      </c>
      <c r="L388">
        <f t="shared" si="33"/>
        <v>0</v>
      </c>
      <c r="M388">
        <f t="shared" si="34"/>
        <v>1</v>
      </c>
    </row>
    <row r="389" spans="1:13">
      <c r="A389">
        <v>894</v>
      </c>
      <c r="B389" s="13">
        <v>42418</v>
      </c>
      <c r="C389">
        <f t="shared" si="30"/>
        <v>2016</v>
      </c>
      <c r="D389">
        <f t="shared" si="31"/>
        <v>2</v>
      </c>
      <c r="E389" t="s">
        <v>63</v>
      </c>
      <c r="F389" t="s">
        <v>243</v>
      </c>
      <c r="G389" s="14">
        <v>72085</v>
      </c>
      <c r="H389" t="s">
        <v>40</v>
      </c>
      <c r="I389" t="s">
        <v>180</v>
      </c>
      <c r="J389" t="s">
        <v>528</v>
      </c>
      <c r="K389">
        <f t="shared" si="32"/>
        <v>1</v>
      </c>
      <c r="L389">
        <f t="shared" si="33"/>
        <v>0</v>
      </c>
      <c r="M389">
        <f t="shared" si="34"/>
        <v>1</v>
      </c>
    </row>
    <row r="390" spans="1:13">
      <c r="A390">
        <v>33</v>
      </c>
      <c r="B390" s="13">
        <v>42419</v>
      </c>
      <c r="C390">
        <f t="shared" si="30"/>
        <v>2016</v>
      </c>
      <c r="D390">
        <f t="shared" si="31"/>
        <v>2</v>
      </c>
      <c r="E390" t="s">
        <v>47</v>
      </c>
      <c r="F390" t="s">
        <v>272</v>
      </c>
      <c r="G390" s="14">
        <v>65752</v>
      </c>
      <c r="H390" t="s">
        <v>53</v>
      </c>
      <c r="I390" t="s">
        <v>54</v>
      </c>
      <c r="J390" t="s">
        <v>529</v>
      </c>
      <c r="K390">
        <f t="shared" si="32"/>
        <v>1</v>
      </c>
      <c r="L390">
        <f t="shared" si="33"/>
        <v>0</v>
      </c>
      <c r="M390">
        <f t="shared" si="34"/>
        <v>1</v>
      </c>
    </row>
    <row r="391" spans="1:13">
      <c r="A391">
        <v>645</v>
      </c>
      <c r="B391" s="13">
        <v>42420</v>
      </c>
      <c r="C391">
        <f t="shared" si="30"/>
        <v>2016</v>
      </c>
      <c r="D391">
        <f t="shared" si="31"/>
        <v>2</v>
      </c>
      <c r="E391" t="s">
        <v>47</v>
      </c>
      <c r="F391" t="s">
        <v>136</v>
      </c>
      <c r="G391" s="14">
        <v>50149</v>
      </c>
      <c r="H391" t="s">
        <v>57</v>
      </c>
      <c r="I391" t="s">
        <v>106</v>
      </c>
      <c r="J391" t="s">
        <v>530</v>
      </c>
      <c r="K391">
        <f t="shared" si="32"/>
        <v>1</v>
      </c>
      <c r="L391">
        <f t="shared" si="33"/>
        <v>0</v>
      </c>
      <c r="M391">
        <f t="shared" si="34"/>
        <v>1</v>
      </c>
    </row>
    <row r="392" spans="1:13">
      <c r="A392">
        <v>37</v>
      </c>
      <c r="B392" s="13">
        <v>42423</v>
      </c>
      <c r="C392">
        <f t="shared" si="30"/>
        <v>2016</v>
      </c>
      <c r="D392">
        <f t="shared" si="31"/>
        <v>2</v>
      </c>
      <c r="E392" t="s">
        <v>76</v>
      </c>
      <c r="F392" t="s">
        <v>110</v>
      </c>
      <c r="G392" s="14">
        <v>62703</v>
      </c>
      <c r="H392" t="s">
        <v>49</v>
      </c>
      <c r="I392" t="s">
        <v>50</v>
      </c>
      <c r="J392" t="s">
        <v>531</v>
      </c>
      <c r="K392">
        <f t="shared" si="32"/>
        <v>1</v>
      </c>
      <c r="L392">
        <f t="shared" si="33"/>
        <v>0</v>
      </c>
      <c r="M392">
        <f t="shared" si="34"/>
        <v>1</v>
      </c>
    </row>
    <row r="393" spans="1:13">
      <c r="A393">
        <v>580</v>
      </c>
      <c r="B393" s="13">
        <v>42429</v>
      </c>
      <c r="C393">
        <f t="shared" si="30"/>
        <v>2016</v>
      </c>
      <c r="D393">
        <f t="shared" si="31"/>
        <v>2</v>
      </c>
      <c r="E393" t="s">
        <v>73</v>
      </c>
      <c r="F393" t="s">
        <v>102</v>
      </c>
      <c r="G393" s="14">
        <v>70717</v>
      </c>
      <c r="H393" t="s">
        <v>81</v>
      </c>
      <c r="I393" t="s">
        <v>153</v>
      </c>
      <c r="J393" t="s">
        <v>532</v>
      </c>
      <c r="K393">
        <f t="shared" si="32"/>
        <v>1</v>
      </c>
      <c r="L393">
        <f t="shared" si="33"/>
        <v>0</v>
      </c>
      <c r="M393">
        <f t="shared" si="34"/>
        <v>1</v>
      </c>
    </row>
    <row r="394" spans="1:13">
      <c r="A394">
        <v>854</v>
      </c>
      <c r="B394" s="13">
        <v>42430</v>
      </c>
      <c r="C394">
        <f t="shared" si="30"/>
        <v>2016</v>
      </c>
      <c r="D394">
        <f t="shared" si="31"/>
        <v>3</v>
      </c>
      <c r="E394" t="s">
        <v>76</v>
      </c>
      <c r="F394" t="s">
        <v>138</v>
      </c>
      <c r="G394" s="14">
        <v>50784</v>
      </c>
      <c r="H394" t="s">
        <v>49</v>
      </c>
      <c r="I394" t="s">
        <v>151</v>
      </c>
      <c r="J394" t="s">
        <v>533</v>
      </c>
      <c r="K394">
        <f t="shared" si="32"/>
        <v>1</v>
      </c>
      <c r="L394">
        <f t="shared" si="33"/>
        <v>0</v>
      </c>
      <c r="M394">
        <f t="shared" si="34"/>
        <v>1</v>
      </c>
    </row>
    <row r="395" spans="1:13">
      <c r="A395">
        <v>418</v>
      </c>
      <c r="B395" s="13">
        <v>42444</v>
      </c>
      <c r="C395">
        <f t="shared" si="30"/>
        <v>2016</v>
      </c>
      <c r="D395">
        <f t="shared" si="31"/>
        <v>3</v>
      </c>
      <c r="E395" t="s">
        <v>73</v>
      </c>
      <c r="F395" t="s">
        <v>223</v>
      </c>
      <c r="G395" s="14">
        <v>54412</v>
      </c>
      <c r="H395" t="s">
        <v>60</v>
      </c>
      <c r="I395" t="s">
        <v>61</v>
      </c>
      <c r="J395" t="s">
        <v>534</v>
      </c>
      <c r="K395">
        <f t="shared" si="32"/>
        <v>1</v>
      </c>
      <c r="L395">
        <f t="shared" si="33"/>
        <v>0</v>
      </c>
      <c r="M395">
        <f t="shared" si="34"/>
        <v>1</v>
      </c>
    </row>
    <row r="396" spans="1:13">
      <c r="A396">
        <v>680</v>
      </c>
      <c r="B396" s="13">
        <v>42444</v>
      </c>
      <c r="C396">
        <f t="shared" si="30"/>
        <v>2016</v>
      </c>
      <c r="D396">
        <f t="shared" si="31"/>
        <v>3</v>
      </c>
      <c r="E396" t="s">
        <v>43</v>
      </c>
      <c r="F396" t="s">
        <v>44</v>
      </c>
      <c r="G396" s="14">
        <v>68259</v>
      </c>
      <c r="H396" t="s">
        <v>60</v>
      </c>
      <c r="I396" t="s">
        <v>71</v>
      </c>
      <c r="J396" t="s">
        <v>535</v>
      </c>
      <c r="K396">
        <f t="shared" si="32"/>
        <v>1</v>
      </c>
      <c r="L396">
        <f t="shared" si="33"/>
        <v>0</v>
      </c>
      <c r="M396">
        <f t="shared" si="34"/>
        <v>1</v>
      </c>
    </row>
    <row r="397" spans="1:13">
      <c r="A397">
        <v>327</v>
      </c>
      <c r="B397" s="13">
        <v>42445</v>
      </c>
      <c r="C397">
        <f t="shared" si="30"/>
        <v>2016</v>
      </c>
      <c r="D397">
        <f t="shared" si="31"/>
        <v>3</v>
      </c>
      <c r="E397" t="s">
        <v>76</v>
      </c>
      <c r="F397" t="s">
        <v>207</v>
      </c>
      <c r="G397" s="14">
        <v>55630</v>
      </c>
      <c r="H397" t="s">
        <v>40</v>
      </c>
      <c r="I397" t="s">
        <v>45</v>
      </c>
      <c r="J397" t="s">
        <v>536</v>
      </c>
      <c r="K397">
        <f t="shared" si="32"/>
        <v>1</v>
      </c>
      <c r="L397">
        <f t="shared" si="33"/>
        <v>0</v>
      </c>
      <c r="M397">
        <f t="shared" si="34"/>
        <v>1</v>
      </c>
    </row>
    <row r="398" spans="1:13">
      <c r="A398">
        <v>572</v>
      </c>
      <c r="B398" s="13">
        <v>42445</v>
      </c>
      <c r="C398">
        <f t="shared" si="30"/>
        <v>2016</v>
      </c>
      <c r="D398">
        <f t="shared" si="31"/>
        <v>3</v>
      </c>
      <c r="E398" t="s">
        <v>94</v>
      </c>
      <c r="F398" t="s">
        <v>489</v>
      </c>
      <c r="G398" s="14">
        <v>48741</v>
      </c>
      <c r="H398" t="s">
        <v>81</v>
      </c>
      <c r="I398" t="s">
        <v>153</v>
      </c>
      <c r="J398" t="s">
        <v>537</v>
      </c>
      <c r="K398">
        <f t="shared" si="32"/>
        <v>1</v>
      </c>
      <c r="L398">
        <f t="shared" si="33"/>
        <v>0</v>
      </c>
      <c r="M398">
        <f t="shared" si="34"/>
        <v>1</v>
      </c>
    </row>
    <row r="399" spans="1:13">
      <c r="A399">
        <v>541</v>
      </c>
      <c r="B399" s="13">
        <v>42459</v>
      </c>
      <c r="C399">
        <f t="shared" si="30"/>
        <v>2016</v>
      </c>
      <c r="D399">
        <f t="shared" si="31"/>
        <v>3</v>
      </c>
      <c r="E399" t="s">
        <v>47</v>
      </c>
      <c r="F399" t="s">
        <v>48</v>
      </c>
      <c r="G399" s="14">
        <v>61769</v>
      </c>
      <c r="H399" t="s">
        <v>53</v>
      </c>
      <c r="I399" t="s">
        <v>78</v>
      </c>
      <c r="J399" t="s">
        <v>538</v>
      </c>
      <c r="K399">
        <f t="shared" si="32"/>
        <v>1</v>
      </c>
      <c r="L399">
        <f t="shared" si="33"/>
        <v>0</v>
      </c>
      <c r="M399">
        <f t="shared" si="34"/>
        <v>1</v>
      </c>
    </row>
    <row r="400" spans="1:13">
      <c r="A400">
        <v>70</v>
      </c>
      <c r="B400" s="13">
        <v>42464</v>
      </c>
      <c r="C400">
        <f t="shared" si="30"/>
        <v>2016</v>
      </c>
      <c r="D400">
        <f t="shared" si="31"/>
        <v>4</v>
      </c>
      <c r="E400" t="s">
        <v>38</v>
      </c>
      <c r="F400" t="s">
        <v>56</v>
      </c>
      <c r="G400" s="14">
        <v>77797</v>
      </c>
      <c r="H400" t="s">
        <v>40</v>
      </c>
      <c r="I400" t="s">
        <v>41</v>
      </c>
      <c r="J400" t="s">
        <v>539</v>
      </c>
      <c r="K400">
        <f t="shared" si="32"/>
        <v>1</v>
      </c>
      <c r="L400">
        <f t="shared" si="33"/>
        <v>0</v>
      </c>
      <c r="M400">
        <f t="shared" si="34"/>
        <v>1</v>
      </c>
    </row>
    <row r="401" spans="1:13">
      <c r="A401">
        <v>354</v>
      </c>
      <c r="B401" s="13">
        <v>42474</v>
      </c>
      <c r="C401">
        <f t="shared" si="30"/>
        <v>2016</v>
      </c>
      <c r="D401">
        <f t="shared" si="31"/>
        <v>4</v>
      </c>
      <c r="E401" t="s">
        <v>73</v>
      </c>
      <c r="F401" t="s">
        <v>140</v>
      </c>
      <c r="G401" s="14">
        <v>54266</v>
      </c>
      <c r="H401" t="s">
        <v>57</v>
      </c>
      <c r="I401" t="s">
        <v>58</v>
      </c>
      <c r="J401" t="s">
        <v>540</v>
      </c>
      <c r="K401">
        <f t="shared" si="32"/>
        <v>1</v>
      </c>
      <c r="L401">
        <f t="shared" si="33"/>
        <v>0</v>
      </c>
      <c r="M401">
        <f t="shared" si="34"/>
        <v>1</v>
      </c>
    </row>
    <row r="402" spans="1:13">
      <c r="A402">
        <v>850</v>
      </c>
      <c r="B402" s="13">
        <v>42475</v>
      </c>
      <c r="C402">
        <f t="shared" si="30"/>
        <v>2016</v>
      </c>
      <c r="D402">
        <f t="shared" si="31"/>
        <v>4</v>
      </c>
      <c r="E402" t="s">
        <v>43</v>
      </c>
      <c r="F402" t="s">
        <v>87</v>
      </c>
      <c r="G402" s="14">
        <v>57427</v>
      </c>
      <c r="H402" t="s">
        <v>60</v>
      </c>
      <c r="I402" t="s">
        <v>199</v>
      </c>
      <c r="J402" t="s">
        <v>541</v>
      </c>
      <c r="K402">
        <f t="shared" si="32"/>
        <v>1</v>
      </c>
      <c r="L402">
        <f t="shared" si="33"/>
        <v>0</v>
      </c>
      <c r="M402">
        <f t="shared" si="34"/>
        <v>1</v>
      </c>
    </row>
    <row r="403" spans="1:13">
      <c r="A403">
        <v>875</v>
      </c>
      <c r="B403" s="13">
        <v>42475</v>
      </c>
      <c r="C403">
        <f t="shared" si="30"/>
        <v>2016</v>
      </c>
      <c r="D403">
        <f t="shared" si="31"/>
        <v>4</v>
      </c>
      <c r="E403" t="s">
        <v>73</v>
      </c>
      <c r="F403" t="s">
        <v>102</v>
      </c>
      <c r="G403" s="14">
        <v>53586</v>
      </c>
      <c r="H403" t="s">
        <v>60</v>
      </c>
      <c r="I403" t="s">
        <v>188</v>
      </c>
      <c r="J403" t="s">
        <v>542</v>
      </c>
      <c r="K403">
        <f t="shared" si="32"/>
        <v>1</v>
      </c>
      <c r="L403">
        <f t="shared" si="33"/>
        <v>0</v>
      </c>
      <c r="M403">
        <f t="shared" si="34"/>
        <v>1</v>
      </c>
    </row>
    <row r="404" spans="1:13">
      <c r="A404">
        <v>84</v>
      </c>
      <c r="B404" s="13">
        <v>42476</v>
      </c>
      <c r="C404">
        <f t="shared" si="30"/>
        <v>2016</v>
      </c>
      <c r="D404">
        <f t="shared" si="31"/>
        <v>4</v>
      </c>
      <c r="E404" t="s">
        <v>43</v>
      </c>
      <c r="F404" t="s">
        <v>380</v>
      </c>
      <c r="G404" s="14">
        <v>70386</v>
      </c>
      <c r="H404" t="s">
        <v>53</v>
      </c>
      <c r="I404" t="s">
        <v>68</v>
      </c>
      <c r="J404" t="s">
        <v>543</v>
      </c>
      <c r="K404">
        <f t="shared" si="32"/>
        <v>1</v>
      </c>
      <c r="L404">
        <f t="shared" si="33"/>
        <v>0</v>
      </c>
      <c r="M404">
        <f t="shared" si="34"/>
        <v>1</v>
      </c>
    </row>
    <row r="405" spans="1:13">
      <c r="A405">
        <v>102</v>
      </c>
      <c r="B405" s="13">
        <v>42477</v>
      </c>
      <c r="C405">
        <f t="shared" si="30"/>
        <v>2016</v>
      </c>
      <c r="D405">
        <f t="shared" si="31"/>
        <v>4</v>
      </c>
      <c r="E405" t="s">
        <v>43</v>
      </c>
      <c r="F405" t="s">
        <v>70</v>
      </c>
      <c r="G405" s="14">
        <v>45780</v>
      </c>
      <c r="H405" t="s">
        <v>40</v>
      </c>
      <c r="I405" t="s">
        <v>45</v>
      </c>
      <c r="J405" t="s">
        <v>544</v>
      </c>
      <c r="K405">
        <f t="shared" si="32"/>
        <v>1</v>
      </c>
      <c r="L405">
        <f t="shared" si="33"/>
        <v>0</v>
      </c>
      <c r="M405">
        <f t="shared" si="34"/>
        <v>1</v>
      </c>
    </row>
    <row r="406" spans="1:13">
      <c r="A406">
        <v>864</v>
      </c>
      <c r="B406" s="13">
        <v>42477</v>
      </c>
      <c r="C406">
        <f t="shared" si="30"/>
        <v>2016</v>
      </c>
      <c r="D406">
        <f t="shared" si="31"/>
        <v>4</v>
      </c>
      <c r="E406" t="s">
        <v>47</v>
      </c>
      <c r="F406" t="s">
        <v>52</v>
      </c>
      <c r="G406" s="14">
        <v>49061</v>
      </c>
      <c r="H406" t="s">
        <v>60</v>
      </c>
      <c r="I406" t="s">
        <v>61</v>
      </c>
      <c r="J406" t="s">
        <v>545</v>
      </c>
      <c r="K406">
        <f t="shared" si="32"/>
        <v>1</v>
      </c>
      <c r="L406">
        <f t="shared" si="33"/>
        <v>0</v>
      </c>
      <c r="M406">
        <f t="shared" si="34"/>
        <v>1</v>
      </c>
    </row>
    <row r="407" spans="1:13">
      <c r="A407">
        <v>673</v>
      </c>
      <c r="B407" s="13">
        <v>42482</v>
      </c>
      <c r="C407">
        <f t="shared" si="30"/>
        <v>2016</v>
      </c>
      <c r="D407">
        <f t="shared" si="31"/>
        <v>4</v>
      </c>
      <c r="E407" t="s">
        <v>43</v>
      </c>
      <c r="F407" t="s">
        <v>44</v>
      </c>
      <c r="G407" s="14">
        <v>49098</v>
      </c>
      <c r="H407" t="s">
        <v>40</v>
      </c>
      <c r="I407" t="s">
        <v>41</v>
      </c>
      <c r="J407" t="s">
        <v>546</v>
      </c>
      <c r="K407">
        <f t="shared" si="32"/>
        <v>1</v>
      </c>
      <c r="L407">
        <f t="shared" si="33"/>
        <v>0</v>
      </c>
      <c r="M407">
        <f t="shared" si="34"/>
        <v>1</v>
      </c>
    </row>
    <row r="408" spans="1:13">
      <c r="A408">
        <v>209</v>
      </c>
      <c r="B408" s="13">
        <v>42485</v>
      </c>
      <c r="C408">
        <f t="shared" si="30"/>
        <v>2016</v>
      </c>
      <c r="D408">
        <f t="shared" si="31"/>
        <v>4</v>
      </c>
      <c r="E408" t="s">
        <v>47</v>
      </c>
      <c r="F408" t="s">
        <v>48</v>
      </c>
      <c r="G408" s="14">
        <v>77401</v>
      </c>
      <c r="H408" t="s">
        <v>40</v>
      </c>
      <c r="I408" t="s">
        <v>100</v>
      </c>
      <c r="J408" t="s">
        <v>547</v>
      </c>
      <c r="K408">
        <f t="shared" si="32"/>
        <v>1</v>
      </c>
      <c r="L408">
        <f t="shared" si="33"/>
        <v>0</v>
      </c>
      <c r="M408">
        <f t="shared" si="34"/>
        <v>1</v>
      </c>
    </row>
    <row r="409" spans="1:13">
      <c r="A409">
        <v>936</v>
      </c>
      <c r="B409" s="13">
        <v>42486</v>
      </c>
      <c r="C409">
        <f t="shared" si="30"/>
        <v>2016</v>
      </c>
      <c r="D409">
        <f t="shared" si="31"/>
        <v>4</v>
      </c>
      <c r="E409" t="s">
        <v>47</v>
      </c>
      <c r="F409" t="s">
        <v>48</v>
      </c>
      <c r="G409" s="14">
        <v>75275</v>
      </c>
      <c r="H409" t="s">
        <v>49</v>
      </c>
      <c r="I409" t="s">
        <v>122</v>
      </c>
      <c r="J409" t="s">
        <v>548</v>
      </c>
      <c r="K409">
        <f t="shared" si="32"/>
        <v>1</v>
      </c>
      <c r="L409">
        <f t="shared" si="33"/>
        <v>0</v>
      </c>
      <c r="M409">
        <f t="shared" si="34"/>
        <v>1</v>
      </c>
    </row>
    <row r="410" spans="1:13">
      <c r="A410">
        <v>72</v>
      </c>
      <c r="B410" s="13">
        <v>42488</v>
      </c>
      <c r="C410">
        <f t="shared" si="30"/>
        <v>2016</v>
      </c>
      <c r="D410">
        <f t="shared" si="31"/>
        <v>4</v>
      </c>
      <c r="E410" t="s">
        <v>38</v>
      </c>
      <c r="F410" t="s">
        <v>227</v>
      </c>
      <c r="G410" s="14">
        <v>45974</v>
      </c>
      <c r="H410" t="s">
        <v>57</v>
      </c>
      <c r="I410" t="s">
        <v>106</v>
      </c>
      <c r="J410" t="s">
        <v>549</v>
      </c>
      <c r="K410">
        <f t="shared" si="32"/>
        <v>1</v>
      </c>
      <c r="L410">
        <f t="shared" si="33"/>
        <v>0</v>
      </c>
      <c r="M410">
        <f t="shared" si="34"/>
        <v>1</v>
      </c>
    </row>
    <row r="411" spans="1:13">
      <c r="A411">
        <v>128</v>
      </c>
      <c r="B411" s="13">
        <v>42489</v>
      </c>
      <c r="C411">
        <f t="shared" si="30"/>
        <v>2016</v>
      </c>
      <c r="D411">
        <f t="shared" si="31"/>
        <v>4</v>
      </c>
      <c r="E411" t="s">
        <v>94</v>
      </c>
      <c r="F411" t="s">
        <v>95</v>
      </c>
      <c r="G411" s="14">
        <v>63739</v>
      </c>
      <c r="H411" t="s">
        <v>81</v>
      </c>
      <c r="I411" t="s">
        <v>108</v>
      </c>
      <c r="J411" t="s">
        <v>550</v>
      </c>
      <c r="K411">
        <f t="shared" si="32"/>
        <v>1</v>
      </c>
      <c r="L411">
        <f t="shared" si="33"/>
        <v>0</v>
      </c>
      <c r="M411">
        <f t="shared" si="34"/>
        <v>1</v>
      </c>
    </row>
    <row r="412" spans="1:13">
      <c r="A412">
        <v>792</v>
      </c>
      <c r="B412" s="13">
        <v>42490</v>
      </c>
      <c r="C412">
        <f t="shared" si="30"/>
        <v>2016</v>
      </c>
      <c r="D412">
        <f t="shared" si="31"/>
        <v>4</v>
      </c>
      <c r="E412" t="s">
        <v>73</v>
      </c>
      <c r="F412" t="s">
        <v>74</v>
      </c>
      <c r="G412" s="14">
        <v>49227</v>
      </c>
      <c r="H412" t="s">
        <v>40</v>
      </c>
      <c r="I412" t="s">
        <v>158</v>
      </c>
      <c r="J412" t="s">
        <v>551</v>
      </c>
      <c r="K412">
        <f t="shared" si="32"/>
        <v>1</v>
      </c>
      <c r="L412">
        <f t="shared" si="33"/>
        <v>0</v>
      </c>
      <c r="M412">
        <f t="shared" si="34"/>
        <v>1</v>
      </c>
    </row>
    <row r="413" spans="1:13">
      <c r="A413">
        <v>501</v>
      </c>
      <c r="B413" s="13">
        <v>42494</v>
      </c>
      <c r="C413">
        <f t="shared" si="30"/>
        <v>2016</v>
      </c>
      <c r="D413">
        <f t="shared" si="31"/>
        <v>5</v>
      </c>
      <c r="E413" t="s">
        <v>94</v>
      </c>
      <c r="F413" t="s">
        <v>192</v>
      </c>
      <c r="G413" s="14">
        <v>67676</v>
      </c>
      <c r="H413" t="s">
        <v>60</v>
      </c>
      <c r="I413" t="s">
        <v>61</v>
      </c>
      <c r="J413" t="s">
        <v>552</v>
      </c>
      <c r="K413">
        <f t="shared" si="32"/>
        <v>1</v>
      </c>
      <c r="L413">
        <f t="shared" si="33"/>
        <v>0</v>
      </c>
      <c r="M413">
        <f t="shared" si="34"/>
        <v>1</v>
      </c>
    </row>
    <row r="414" spans="1:13">
      <c r="A414">
        <v>113</v>
      </c>
      <c r="B414" s="13">
        <v>42501</v>
      </c>
      <c r="C414">
        <f t="shared" si="30"/>
        <v>2016</v>
      </c>
      <c r="D414">
        <f t="shared" si="31"/>
        <v>5</v>
      </c>
      <c r="E414" t="s">
        <v>63</v>
      </c>
      <c r="F414" t="s">
        <v>425</v>
      </c>
      <c r="G414" s="14">
        <v>74345</v>
      </c>
      <c r="H414" t="s">
        <v>60</v>
      </c>
      <c r="I414" t="s">
        <v>71</v>
      </c>
      <c r="J414" t="s">
        <v>553</v>
      </c>
      <c r="K414">
        <f t="shared" si="32"/>
        <v>1</v>
      </c>
      <c r="L414">
        <f t="shared" si="33"/>
        <v>0</v>
      </c>
      <c r="M414">
        <f t="shared" si="34"/>
        <v>1</v>
      </c>
    </row>
    <row r="415" spans="1:13">
      <c r="A415">
        <v>480</v>
      </c>
      <c r="B415" s="13">
        <v>42506</v>
      </c>
      <c r="C415">
        <f t="shared" si="30"/>
        <v>2016</v>
      </c>
      <c r="D415">
        <f t="shared" si="31"/>
        <v>5</v>
      </c>
      <c r="E415" t="s">
        <v>94</v>
      </c>
      <c r="F415" t="s">
        <v>489</v>
      </c>
      <c r="G415" s="14">
        <v>58381.94</v>
      </c>
      <c r="H415" t="s">
        <v>40</v>
      </c>
      <c r="I415" t="s">
        <v>45</v>
      </c>
      <c r="J415" t="s">
        <v>554</v>
      </c>
      <c r="K415">
        <f t="shared" si="32"/>
        <v>1</v>
      </c>
      <c r="L415">
        <f t="shared" si="33"/>
        <v>0</v>
      </c>
      <c r="M415">
        <f t="shared" si="34"/>
        <v>1</v>
      </c>
    </row>
    <row r="416" spans="1:13">
      <c r="A416">
        <v>596</v>
      </c>
      <c r="B416" s="13">
        <v>42506</v>
      </c>
      <c r="C416">
        <f t="shared" si="30"/>
        <v>2016</v>
      </c>
      <c r="D416">
        <f t="shared" si="31"/>
        <v>5</v>
      </c>
      <c r="E416" t="s">
        <v>76</v>
      </c>
      <c r="F416" t="s">
        <v>294</v>
      </c>
      <c r="G416" s="14">
        <v>76475</v>
      </c>
      <c r="H416" t="s">
        <v>40</v>
      </c>
      <c r="I416" t="s">
        <v>45</v>
      </c>
      <c r="J416" t="s">
        <v>555</v>
      </c>
      <c r="K416">
        <f t="shared" si="32"/>
        <v>1</v>
      </c>
      <c r="L416">
        <f t="shared" si="33"/>
        <v>0</v>
      </c>
      <c r="M416">
        <f t="shared" si="34"/>
        <v>1</v>
      </c>
    </row>
    <row r="417" spans="1:13">
      <c r="A417">
        <v>651</v>
      </c>
      <c r="B417" s="13">
        <v>42506</v>
      </c>
      <c r="C417">
        <f t="shared" si="30"/>
        <v>2016</v>
      </c>
      <c r="D417">
        <f t="shared" si="31"/>
        <v>5</v>
      </c>
      <c r="E417" t="s">
        <v>76</v>
      </c>
      <c r="F417" t="s">
        <v>129</v>
      </c>
      <c r="G417" s="14">
        <v>44046</v>
      </c>
      <c r="H417" t="s">
        <v>53</v>
      </c>
      <c r="I417" t="s">
        <v>120</v>
      </c>
      <c r="J417" t="s">
        <v>556</v>
      </c>
      <c r="K417">
        <f t="shared" si="32"/>
        <v>1</v>
      </c>
      <c r="L417">
        <f t="shared" si="33"/>
        <v>0</v>
      </c>
      <c r="M417">
        <f t="shared" si="34"/>
        <v>1</v>
      </c>
    </row>
    <row r="418" spans="1:13">
      <c r="A418">
        <v>213</v>
      </c>
      <c r="B418" s="13">
        <v>42507</v>
      </c>
      <c r="C418">
        <f t="shared" si="30"/>
        <v>2016</v>
      </c>
      <c r="D418">
        <f t="shared" si="31"/>
        <v>5</v>
      </c>
      <c r="E418" t="s">
        <v>47</v>
      </c>
      <c r="F418" t="s">
        <v>272</v>
      </c>
      <c r="G418" s="14">
        <v>65471</v>
      </c>
      <c r="H418" t="s">
        <v>60</v>
      </c>
      <c r="I418" t="s">
        <v>114</v>
      </c>
      <c r="J418" t="s">
        <v>557</v>
      </c>
      <c r="K418">
        <f t="shared" si="32"/>
        <v>1</v>
      </c>
      <c r="L418">
        <f t="shared" si="33"/>
        <v>0</v>
      </c>
      <c r="M418">
        <f t="shared" si="34"/>
        <v>1</v>
      </c>
    </row>
    <row r="419" spans="1:13">
      <c r="A419">
        <v>910</v>
      </c>
      <c r="B419" s="13">
        <v>42508</v>
      </c>
      <c r="C419">
        <f t="shared" si="30"/>
        <v>2016</v>
      </c>
      <c r="D419">
        <f t="shared" si="31"/>
        <v>5</v>
      </c>
      <c r="E419" t="s">
        <v>38</v>
      </c>
      <c r="F419" t="s">
        <v>126</v>
      </c>
      <c r="G419" s="14">
        <v>74911.34</v>
      </c>
      <c r="H419" t="s">
        <v>40</v>
      </c>
      <c r="I419" t="s">
        <v>45</v>
      </c>
      <c r="J419" t="s">
        <v>558</v>
      </c>
      <c r="K419">
        <f t="shared" si="32"/>
        <v>1</v>
      </c>
      <c r="L419">
        <f t="shared" si="33"/>
        <v>0</v>
      </c>
      <c r="M419">
        <f t="shared" si="34"/>
        <v>1</v>
      </c>
    </row>
    <row r="420" spans="1:13">
      <c r="A420">
        <v>446</v>
      </c>
      <c r="B420" s="13">
        <v>42513</v>
      </c>
      <c r="C420">
        <f t="shared" si="30"/>
        <v>2016</v>
      </c>
      <c r="D420">
        <f t="shared" si="31"/>
        <v>5</v>
      </c>
      <c r="E420" t="s">
        <v>73</v>
      </c>
      <c r="F420" t="s">
        <v>102</v>
      </c>
      <c r="G420" s="14">
        <v>42065</v>
      </c>
      <c r="H420" t="s">
        <v>49</v>
      </c>
      <c r="I420" t="s">
        <v>96</v>
      </c>
      <c r="J420" t="s">
        <v>559</v>
      </c>
      <c r="K420">
        <f t="shared" si="32"/>
        <v>1</v>
      </c>
      <c r="L420">
        <f t="shared" si="33"/>
        <v>0</v>
      </c>
      <c r="M420">
        <f t="shared" si="34"/>
        <v>1</v>
      </c>
    </row>
    <row r="421" spans="1:13">
      <c r="A421">
        <v>811</v>
      </c>
      <c r="B421" s="13">
        <v>42515</v>
      </c>
      <c r="C421">
        <f t="shared" si="30"/>
        <v>2016</v>
      </c>
      <c r="D421">
        <f t="shared" si="31"/>
        <v>5</v>
      </c>
      <c r="E421" t="s">
        <v>43</v>
      </c>
      <c r="F421" t="s">
        <v>67</v>
      </c>
      <c r="G421" s="14">
        <v>45281</v>
      </c>
      <c r="H421" t="s">
        <v>81</v>
      </c>
      <c r="I421" t="s">
        <v>146</v>
      </c>
      <c r="J421" t="s">
        <v>560</v>
      </c>
      <c r="K421">
        <f t="shared" si="32"/>
        <v>1</v>
      </c>
      <c r="L421">
        <f t="shared" si="33"/>
        <v>0</v>
      </c>
      <c r="M421">
        <f t="shared" si="34"/>
        <v>1</v>
      </c>
    </row>
    <row r="422" spans="1:13">
      <c r="A422">
        <v>932</v>
      </c>
      <c r="B422" s="13">
        <v>42517</v>
      </c>
      <c r="C422">
        <f t="shared" si="30"/>
        <v>2016</v>
      </c>
      <c r="D422">
        <f t="shared" si="31"/>
        <v>5</v>
      </c>
      <c r="E422" t="s">
        <v>38</v>
      </c>
      <c r="F422" t="s">
        <v>165</v>
      </c>
      <c r="G422" s="14">
        <v>58894</v>
      </c>
      <c r="H422" t="s">
        <v>53</v>
      </c>
      <c r="I422" t="s">
        <v>92</v>
      </c>
      <c r="J422" t="s">
        <v>561</v>
      </c>
      <c r="K422">
        <f t="shared" si="32"/>
        <v>1</v>
      </c>
      <c r="L422">
        <f t="shared" si="33"/>
        <v>0</v>
      </c>
      <c r="M422">
        <f t="shared" si="34"/>
        <v>1</v>
      </c>
    </row>
    <row r="423" spans="1:13">
      <c r="A423">
        <v>149</v>
      </c>
      <c r="B423" s="13">
        <v>42520</v>
      </c>
      <c r="C423">
        <f t="shared" si="30"/>
        <v>2016</v>
      </c>
      <c r="D423">
        <f t="shared" si="31"/>
        <v>5</v>
      </c>
      <c r="E423" t="s">
        <v>47</v>
      </c>
      <c r="F423" t="s">
        <v>48</v>
      </c>
      <c r="G423" s="14">
        <v>41859</v>
      </c>
      <c r="H423" t="s">
        <v>57</v>
      </c>
      <c r="I423" t="s">
        <v>65</v>
      </c>
      <c r="J423" t="s">
        <v>562</v>
      </c>
      <c r="K423">
        <f t="shared" si="32"/>
        <v>1</v>
      </c>
      <c r="L423">
        <f t="shared" si="33"/>
        <v>0</v>
      </c>
      <c r="M423">
        <f t="shared" si="34"/>
        <v>1</v>
      </c>
    </row>
    <row r="424" spans="1:13">
      <c r="A424">
        <v>821</v>
      </c>
      <c r="B424" s="13">
        <v>42520</v>
      </c>
      <c r="C424">
        <f t="shared" si="30"/>
        <v>2016</v>
      </c>
      <c r="D424">
        <f t="shared" si="31"/>
        <v>5</v>
      </c>
      <c r="E424" t="s">
        <v>47</v>
      </c>
      <c r="F424" t="s">
        <v>132</v>
      </c>
      <c r="G424" s="14">
        <v>59594</v>
      </c>
      <c r="H424" t="s">
        <v>57</v>
      </c>
      <c r="I424" t="s">
        <v>65</v>
      </c>
      <c r="J424" t="s">
        <v>563</v>
      </c>
      <c r="K424">
        <f t="shared" si="32"/>
        <v>1</v>
      </c>
      <c r="L424">
        <f t="shared" si="33"/>
        <v>0</v>
      </c>
      <c r="M424">
        <f t="shared" si="34"/>
        <v>1</v>
      </c>
    </row>
    <row r="425" spans="1:13">
      <c r="A425">
        <v>463</v>
      </c>
      <c r="B425" s="13">
        <v>42522</v>
      </c>
      <c r="C425">
        <f t="shared" si="30"/>
        <v>2016</v>
      </c>
      <c r="D425">
        <f t="shared" si="31"/>
        <v>6</v>
      </c>
      <c r="E425" t="s">
        <v>38</v>
      </c>
      <c r="F425" t="s">
        <v>227</v>
      </c>
      <c r="G425" s="14">
        <v>46786</v>
      </c>
      <c r="H425" t="s">
        <v>53</v>
      </c>
      <c r="I425" t="s">
        <v>78</v>
      </c>
      <c r="J425" t="s">
        <v>564</v>
      </c>
      <c r="K425">
        <f t="shared" si="32"/>
        <v>1</v>
      </c>
      <c r="L425">
        <f t="shared" si="33"/>
        <v>0</v>
      </c>
      <c r="M425">
        <f t="shared" si="34"/>
        <v>1</v>
      </c>
    </row>
    <row r="426" spans="1:13">
      <c r="A426">
        <v>571</v>
      </c>
      <c r="B426" s="13">
        <v>42522</v>
      </c>
      <c r="C426">
        <f t="shared" si="30"/>
        <v>2016</v>
      </c>
      <c r="D426">
        <f t="shared" si="31"/>
        <v>6</v>
      </c>
      <c r="E426" t="s">
        <v>43</v>
      </c>
      <c r="F426" t="s">
        <v>197</v>
      </c>
      <c r="G426" s="14">
        <v>46326</v>
      </c>
      <c r="H426" t="s">
        <v>81</v>
      </c>
      <c r="I426" t="s">
        <v>82</v>
      </c>
      <c r="J426" t="s">
        <v>565</v>
      </c>
      <c r="K426">
        <f t="shared" si="32"/>
        <v>1</v>
      </c>
      <c r="L426">
        <f t="shared" si="33"/>
        <v>0</v>
      </c>
      <c r="M426">
        <f t="shared" si="34"/>
        <v>1</v>
      </c>
    </row>
    <row r="427" spans="1:13">
      <c r="A427">
        <v>893</v>
      </c>
      <c r="B427" s="13">
        <v>42528</v>
      </c>
      <c r="C427">
        <f t="shared" si="30"/>
        <v>2016</v>
      </c>
      <c r="D427">
        <f t="shared" si="31"/>
        <v>6</v>
      </c>
      <c r="E427" t="s">
        <v>47</v>
      </c>
      <c r="F427" t="s">
        <v>136</v>
      </c>
      <c r="G427" s="14">
        <v>42455</v>
      </c>
      <c r="H427" t="s">
        <v>53</v>
      </c>
      <c r="I427" t="s">
        <v>120</v>
      </c>
      <c r="J427" t="s">
        <v>566</v>
      </c>
      <c r="K427">
        <f t="shared" si="32"/>
        <v>1</v>
      </c>
      <c r="L427">
        <f t="shared" si="33"/>
        <v>0</v>
      </c>
      <c r="M427">
        <f t="shared" si="34"/>
        <v>1</v>
      </c>
    </row>
    <row r="428" spans="1:13">
      <c r="A428">
        <v>806</v>
      </c>
      <c r="B428" s="13">
        <v>42536</v>
      </c>
      <c r="C428">
        <f t="shared" si="30"/>
        <v>2016</v>
      </c>
      <c r="D428">
        <f t="shared" si="31"/>
        <v>6</v>
      </c>
      <c r="E428" t="s">
        <v>43</v>
      </c>
      <c r="F428" t="s">
        <v>67</v>
      </c>
      <c r="G428" s="14">
        <v>70883</v>
      </c>
      <c r="H428" t="s">
        <v>40</v>
      </c>
      <c r="I428" t="s">
        <v>88</v>
      </c>
      <c r="J428" t="s">
        <v>567</v>
      </c>
      <c r="K428">
        <f t="shared" si="32"/>
        <v>1</v>
      </c>
      <c r="L428">
        <f t="shared" si="33"/>
        <v>0</v>
      </c>
      <c r="M428">
        <f t="shared" si="34"/>
        <v>1</v>
      </c>
    </row>
    <row r="429" spans="1:13">
      <c r="A429">
        <v>829</v>
      </c>
      <c r="B429" s="13">
        <v>42536</v>
      </c>
      <c r="C429">
        <f t="shared" si="30"/>
        <v>2016</v>
      </c>
      <c r="D429">
        <f t="shared" si="31"/>
        <v>6</v>
      </c>
      <c r="E429" t="s">
        <v>76</v>
      </c>
      <c r="F429" t="s">
        <v>138</v>
      </c>
      <c r="G429" s="14">
        <v>66163</v>
      </c>
      <c r="H429" t="s">
        <v>53</v>
      </c>
      <c r="I429" t="s">
        <v>92</v>
      </c>
      <c r="J429" t="s">
        <v>568</v>
      </c>
      <c r="K429">
        <f t="shared" si="32"/>
        <v>1</v>
      </c>
      <c r="L429">
        <f t="shared" si="33"/>
        <v>0</v>
      </c>
      <c r="M429">
        <f t="shared" si="34"/>
        <v>1</v>
      </c>
    </row>
    <row r="430" spans="1:13">
      <c r="A430">
        <v>786</v>
      </c>
      <c r="B430" s="13">
        <v>42539</v>
      </c>
      <c r="C430">
        <f t="shared" si="30"/>
        <v>2016</v>
      </c>
      <c r="D430">
        <f t="shared" si="31"/>
        <v>6</v>
      </c>
      <c r="E430" t="s">
        <v>73</v>
      </c>
      <c r="F430" t="s">
        <v>140</v>
      </c>
      <c r="G430" s="14">
        <v>54882</v>
      </c>
      <c r="H430" t="s">
        <v>53</v>
      </c>
      <c r="I430" t="s">
        <v>68</v>
      </c>
      <c r="J430" t="s">
        <v>569</v>
      </c>
      <c r="K430">
        <f t="shared" si="32"/>
        <v>1</v>
      </c>
      <c r="L430">
        <f t="shared" si="33"/>
        <v>0</v>
      </c>
      <c r="M430">
        <f t="shared" si="34"/>
        <v>1</v>
      </c>
    </row>
    <row r="431" spans="1:13">
      <c r="A431">
        <v>550</v>
      </c>
      <c r="B431" s="13">
        <v>42548</v>
      </c>
      <c r="C431">
        <f t="shared" si="30"/>
        <v>2016</v>
      </c>
      <c r="D431">
        <f t="shared" si="31"/>
        <v>6</v>
      </c>
      <c r="E431" t="s">
        <v>38</v>
      </c>
      <c r="F431" t="s">
        <v>236</v>
      </c>
      <c r="G431" s="14">
        <v>76089</v>
      </c>
      <c r="H431" t="s">
        <v>57</v>
      </c>
      <c r="I431" t="s">
        <v>231</v>
      </c>
      <c r="J431" t="s">
        <v>570</v>
      </c>
      <c r="K431">
        <f t="shared" si="32"/>
        <v>1</v>
      </c>
      <c r="L431">
        <f t="shared" si="33"/>
        <v>0</v>
      </c>
      <c r="M431">
        <f t="shared" si="34"/>
        <v>1</v>
      </c>
    </row>
    <row r="432" spans="1:13">
      <c r="A432">
        <v>695</v>
      </c>
      <c r="B432" s="13">
        <v>42554</v>
      </c>
      <c r="C432">
        <f t="shared" si="30"/>
        <v>2016</v>
      </c>
      <c r="D432">
        <f t="shared" si="31"/>
        <v>7</v>
      </c>
      <c r="E432" t="s">
        <v>76</v>
      </c>
      <c r="F432" t="s">
        <v>77</v>
      </c>
      <c r="G432" s="14">
        <v>58141</v>
      </c>
      <c r="H432" t="s">
        <v>60</v>
      </c>
      <c r="I432" t="s">
        <v>71</v>
      </c>
      <c r="J432" t="s">
        <v>571</v>
      </c>
      <c r="K432">
        <f t="shared" si="32"/>
        <v>1</v>
      </c>
      <c r="L432">
        <f t="shared" si="33"/>
        <v>0</v>
      </c>
      <c r="M432">
        <f t="shared" si="34"/>
        <v>1</v>
      </c>
    </row>
    <row r="433" spans="1:13">
      <c r="A433">
        <v>868</v>
      </c>
      <c r="B433" s="13">
        <v>42554</v>
      </c>
      <c r="C433">
        <f t="shared" si="30"/>
        <v>2016</v>
      </c>
      <c r="D433">
        <f t="shared" si="31"/>
        <v>7</v>
      </c>
      <c r="E433" t="s">
        <v>63</v>
      </c>
      <c r="F433" t="s">
        <v>248</v>
      </c>
      <c r="G433" s="14">
        <v>49427</v>
      </c>
      <c r="H433" t="s">
        <v>81</v>
      </c>
      <c r="I433" t="s">
        <v>108</v>
      </c>
      <c r="J433" t="s">
        <v>572</v>
      </c>
      <c r="K433">
        <f t="shared" si="32"/>
        <v>1</v>
      </c>
      <c r="L433">
        <f t="shared" si="33"/>
        <v>0</v>
      </c>
      <c r="M433">
        <f t="shared" si="34"/>
        <v>1</v>
      </c>
    </row>
    <row r="434" spans="1:13">
      <c r="A434">
        <v>112</v>
      </c>
      <c r="B434" s="13">
        <v>42558</v>
      </c>
      <c r="C434">
        <f t="shared" si="30"/>
        <v>2016</v>
      </c>
      <c r="D434">
        <f t="shared" si="31"/>
        <v>7</v>
      </c>
      <c r="E434" t="s">
        <v>43</v>
      </c>
      <c r="F434" t="s">
        <v>251</v>
      </c>
      <c r="G434" s="14">
        <v>60411</v>
      </c>
      <c r="H434" t="s">
        <v>40</v>
      </c>
      <c r="I434" t="s">
        <v>98</v>
      </c>
      <c r="J434" t="s">
        <v>573</v>
      </c>
      <c r="K434">
        <f t="shared" si="32"/>
        <v>1</v>
      </c>
      <c r="L434">
        <f t="shared" si="33"/>
        <v>0</v>
      </c>
      <c r="M434">
        <f t="shared" si="34"/>
        <v>1</v>
      </c>
    </row>
    <row r="435" spans="1:13">
      <c r="A435">
        <v>249</v>
      </c>
      <c r="B435" s="13">
        <v>42562</v>
      </c>
      <c r="C435">
        <f t="shared" si="30"/>
        <v>2016</v>
      </c>
      <c r="D435">
        <f t="shared" si="31"/>
        <v>7</v>
      </c>
      <c r="E435" t="s">
        <v>47</v>
      </c>
      <c r="F435" t="s">
        <v>48</v>
      </c>
      <c r="G435" s="14">
        <v>54040</v>
      </c>
      <c r="H435" t="s">
        <v>57</v>
      </c>
      <c r="I435" t="s">
        <v>106</v>
      </c>
      <c r="J435" t="s">
        <v>574</v>
      </c>
      <c r="K435">
        <f t="shared" si="32"/>
        <v>1</v>
      </c>
      <c r="L435">
        <f t="shared" si="33"/>
        <v>0</v>
      </c>
      <c r="M435">
        <f t="shared" si="34"/>
        <v>1</v>
      </c>
    </row>
    <row r="436" spans="1:13">
      <c r="A436">
        <v>574</v>
      </c>
      <c r="B436" s="13">
        <v>42566</v>
      </c>
      <c r="C436">
        <f t="shared" si="30"/>
        <v>2016</v>
      </c>
      <c r="D436">
        <f t="shared" si="31"/>
        <v>7</v>
      </c>
      <c r="E436" t="s">
        <v>43</v>
      </c>
      <c r="F436" t="s">
        <v>134</v>
      </c>
      <c r="G436" s="14">
        <v>47875</v>
      </c>
      <c r="H436" t="s">
        <v>40</v>
      </c>
      <c r="I436" t="s">
        <v>88</v>
      </c>
      <c r="J436" t="s">
        <v>575</v>
      </c>
      <c r="K436">
        <f t="shared" si="32"/>
        <v>1</v>
      </c>
      <c r="L436">
        <f t="shared" si="33"/>
        <v>0</v>
      </c>
      <c r="M436">
        <f t="shared" si="34"/>
        <v>1</v>
      </c>
    </row>
    <row r="437" spans="1:13">
      <c r="A437">
        <v>194</v>
      </c>
      <c r="B437" s="13">
        <v>42567</v>
      </c>
      <c r="C437">
        <f t="shared" si="30"/>
        <v>2016</v>
      </c>
      <c r="D437">
        <f t="shared" si="31"/>
        <v>7</v>
      </c>
      <c r="E437" t="s">
        <v>76</v>
      </c>
      <c r="F437" t="s">
        <v>77</v>
      </c>
      <c r="G437" s="14">
        <v>42853</v>
      </c>
      <c r="H437" t="s">
        <v>49</v>
      </c>
      <c r="I437" t="s">
        <v>103</v>
      </c>
      <c r="J437" t="s">
        <v>576</v>
      </c>
      <c r="K437">
        <f t="shared" si="32"/>
        <v>1</v>
      </c>
      <c r="L437">
        <f t="shared" si="33"/>
        <v>0</v>
      </c>
      <c r="M437">
        <f t="shared" si="34"/>
        <v>1</v>
      </c>
    </row>
    <row r="438" spans="1:13">
      <c r="A438">
        <v>5</v>
      </c>
      <c r="B438" s="13">
        <v>42569</v>
      </c>
      <c r="C438">
        <f t="shared" si="30"/>
        <v>2016</v>
      </c>
      <c r="D438">
        <f t="shared" si="31"/>
        <v>7</v>
      </c>
      <c r="E438" t="s">
        <v>73</v>
      </c>
      <c r="F438" t="s">
        <v>102</v>
      </c>
      <c r="G438" s="14">
        <v>78495</v>
      </c>
      <c r="H438" t="s">
        <v>57</v>
      </c>
      <c r="I438" t="s">
        <v>106</v>
      </c>
      <c r="J438" t="s">
        <v>577</v>
      </c>
      <c r="K438">
        <f t="shared" si="32"/>
        <v>1</v>
      </c>
      <c r="L438">
        <f t="shared" si="33"/>
        <v>0</v>
      </c>
      <c r="M438">
        <f t="shared" si="34"/>
        <v>1</v>
      </c>
    </row>
    <row r="439" spans="1:13">
      <c r="A439">
        <v>627</v>
      </c>
      <c r="B439" s="13">
        <v>42570</v>
      </c>
      <c r="C439">
        <f t="shared" si="30"/>
        <v>2016</v>
      </c>
      <c r="D439">
        <f t="shared" si="31"/>
        <v>7</v>
      </c>
      <c r="E439" t="s">
        <v>43</v>
      </c>
      <c r="F439" t="s">
        <v>44</v>
      </c>
      <c r="G439" s="14">
        <v>65067</v>
      </c>
      <c r="H439" t="s">
        <v>53</v>
      </c>
      <c r="I439" t="s">
        <v>120</v>
      </c>
      <c r="J439" t="s">
        <v>578</v>
      </c>
      <c r="K439">
        <f t="shared" si="32"/>
        <v>1</v>
      </c>
      <c r="L439">
        <f t="shared" si="33"/>
        <v>0</v>
      </c>
      <c r="M439">
        <f t="shared" si="34"/>
        <v>1</v>
      </c>
    </row>
    <row r="440" spans="1:13">
      <c r="A440">
        <v>933</v>
      </c>
      <c r="B440" s="13">
        <v>42570</v>
      </c>
      <c r="C440">
        <f t="shared" si="30"/>
        <v>2016</v>
      </c>
      <c r="D440">
        <f t="shared" si="31"/>
        <v>7</v>
      </c>
      <c r="E440" t="s">
        <v>38</v>
      </c>
      <c r="F440" t="s">
        <v>112</v>
      </c>
      <c r="G440" s="14">
        <v>46157</v>
      </c>
      <c r="H440" t="s">
        <v>60</v>
      </c>
      <c r="I440" t="s">
        <v>114</v>
      </c>
      <c r="J440" t="s">
        <v>579</v>
      </c>
      <c r="K440">
        <f t="shared" si="32"/>
        <v>1</v>
      </c>
      <c r="L440">
        <f t="shared" si="33"/>
        <v>0</v>
      </c>
      <c r="M440">
        <f t="shared" si="34"/>
        <v>1</v>
      </c>
    </row>
    <row r="441" spans="1:13">
      <c r="A441">
        <v>203</v>
      </c>
      <c r="B441" s="13">
        <v>42576</v>
      </c>
      <c r="C441">
        <f t="shared" si="30"/>
        <v>2016</v>
      </c>
      <c r="D441">
        <f t="shared" si="31"/>
        <v>7</v>
      </c>
      <c r="E441" t="s">
        <v>47</v>
      </c>
      <c r="F441" t="s">
        <v>132</v>
      </c>
      <c r="G441" s="14">
        <v>69683</v>
      </c>
      <c r="H441" t="s">
        <v>53</v>
      </c>
      <c r="I441" t="s">
        <v>54</v>
      </c>
      <c r="J441" t="s">
        <v>580</v>
      </c>
      <c r="K441">
        <f t="shared" si="32"/>
        <v>1</v>
      </c>
      <c r="L441">
        <f t="shared" si="33"/>
        <v>0</v>
      </c>
      <c r="M441">
        <f t="shared" si="34"/>
        <v>1</v>
      </c>
    </row>
    <row r="442" spans="1:13">
      <c r="A442">
        <v>165</v>
      </c>
      <c r="B442" s="13">
        <v>42577</v>
      </c>
      <c r="C442">
        <f t="shared" si="30"/>
        <v>2016</v>
      </c>
      <c r="D442">
        <f t="shared" si="31"/>
        <v>7</v>
      </c>
      <c r="E442" t="s">
        <v>76</v>
      </c>
      <c r="F442" t="s">
        <v>129</v>
      </c>
      <c r="G442" s="14">
        <v>69028</v>
      </c>
      <c r="H442" t="s">
        <v>60</v>
      </c>
      <c r="I442" t="s">
        <v>199</v>
      </c>
      <c r="J442" t="s">
        <v>581</v>
      </c>
      <c r="K442">
        <f t="shared" si="32"/>
        <v>1</v>
      </c>
      <c r="L442">
        <f t="shared" si="33"/>
        <v>0</v>
      </c>
      <c r="M442">
        <f t="shared" si="34"/>
        <v>1</v>
      </c>
    </row>
    <row r="443" spans="1:13">
      <c r="A443">
        <v>240</v>
      </c>
      <c r="B443" s="13">
        <v>42577</v>
      </c>
      <c r="C443">
        <f t="shared" si="30"/>
        <v>2016</v>
      </c>
      <c r="D443">
        <f t="shared" si="31"/>
        <v>7</v>
      </c>
      <c r="E443" t="s">
        <v>73</v>
      </c>
      <c r="F443" t="s">
        <v>140</v>
      </c>
      <c r="G443" s="14">
        <v>50661</v>
      </c>
      <c r="H443" t="s">
        <v>60</v>
      </c>
      <c r="I443" t="s">
        <v>199</v>
      </c>
      <c r="J443" t="s">
        <v>582</v>
      </c>
      <c r="K443">
        <f t="shared" si="32"/>
        <v>1</v>
      </c>
      <c r="L443">
        <f t="shared" si="33"/>
        <v>0</v>
      </c>
      <c r="M443">
        <f t="shared" si="34"/>
        <v>1</v>
      </c>
    </row>
    <row r="444" spans="1:13">
      <c r="A444">
        <v>416</v>
      </c>
      <c r="B444" s="13">
        <v>42577</v>
      </c>
      <c r="C444">
        <f t="shared" si="30"/>
        <v>2016</v>
      </c>
      <c r="D444">
        <f t="shared" si="31"/>
        <v>7</v>
      </c>
      <c r="E444" t="s">
        <v>38</v>
      </c>
      <c r="F444" t="s">
        <v>56</v>
      </c>
      <c r="G444" s="14">
        <v>44451</v>
      </c>
      <c r="H444" t="s">
        <v>60</v>
      </c>
      <c r="I444" t="s">
        <v>188</v>
      </c>
      <c r="J444" t="s">
        <v>583</v>
      </c>
      <c r="K444">
        <f t="shared" si="32"/>
        <v>1</v>
      </c>
      <c r="L444">
        <f t="shared" si="33"/>
        <v>0</v>
      </c>
      <c r="M444">
        <f t="shared" si="34"/>
        <v>1</v>
      </c>
    </row>
    <row r="445" spans="1:13">
      <c r="A445">
        <v>654</v>
      </c>
      <c r="B445" s="13">
        <v>42577</v>
      </c>
      <c r="C445">
        <f t="shared" si="30"/>
        <v>2016</v>
      </c>
      <c r="D445">
        <f t="shared" si="31"/>
        <v>7</v>
      </c>
      <c r="E445" t="s">
        <v>43</v>
      </c>
      <c r="F445" t="s">
        <v>87</v>
      </c>
      <c r="G445" s="14">
        <v>69895</v>
      </c>
      <c r="H445" t="s">
        <v>40</v>
      </c>
      <c r="I445" t="s">
        <v>88</v>
      </c>
      <c r="J445" t="s">
        <v>584</v>
      </c>
      <c r="K445">
        <f t="shared" si="32"/>
        <v>1</v>
      </c>
      <c r="L445">
        <f t="shared" si="33"/>
        <v>0</v>
      </c>
      <c r="M445">
        <f t="shared" si="34"/>
        <v>1</v>
      </c>
    </row>
    <row r="446" spans="1:13">
      <c r="A446">
        <v>429</v>
      </c>
      <c r="B446" s="13">
        <v>42582</v>
      </c>
      <c r="C446">
        <f t="shared" si="30"/>
        <v>2016</v>
      </c>
      <c r="D446">
        <f t="shared" si="31"/>
        <v>7</v>
      </c>
      <c r="E446" t="s">
        <v>76</v>
      </c>
      <c r="F446" t="s">
        <v>110</v>
      </c>
      <c r="G446" s="14">
        <v>75929</v>
      </c>
      <c r="H446" t="s">
        <v>40</v>
      </c>
      <c r="I446" t="s">
        <v>142</v>
      </c>
      <c r="J446" t="s">
        <v>585</v>
      </c>
      <c r="K446">
        <f t="shared" si="32"/>
        <v>1</v>
      </c>
      <c r="L446">
        <f t="shared" si="33"/>
        <v>0</v>
      </c>
      <c r="M446">
        <f t="shared" si="34"/>
        <v>1</v>
      </c>
    </row>
    <row r="447" spans="1:13">
      <c r="A447">
        <v>367</v>
      </c>
      <c r="B447" s="13">
        <v>42585</v>
      </c>
      <c r="C447">
        <f t="shared" si="30"/>
        <v>2016</v>
      </c>
      <c r="D447">
        <f t="shared" si="31"/>
        <v>8</v>
      </c>
      <c r="E447" t="s">
        <v>43</v>
      </c>
      <c r="F447" t="s">
        <v>251</v>
      </c>
      <c r="G447" s="14">
        <v>76602</v>
      </c>
      <c r="H447" t="s">
        <v>53</v>
      </c>
      <c r="I447" t="s">
        <v>68</v>
      </c>
      <c r="J447" t="s">
        <v>586</v>
      </c>
      <c r="K447">
        <f t="shared" si="32"/>
        <v>1</v>
      </c>
      <c r="L447">
        <f t="shared" si="33"/>
        <v>0</v>
      </c>
      <c r="M447">
        <f t="shared" si="34"/>
        <v>1</v>
      </c>
    </row>
    <row r="448" spans="1:13">
      <c r="A448">
        <v>402</v>
      </c>
      <c r="B448" s="13">
        <v>42599</v>
      </c>
      <c r="C448">
        <f t="shared" si="30"/>
        <v>2016</v>
      </c>
      <c r="D448">
        <f t="shared" si="31"/>
        <v>8</v>
      </c>
      <c r="E448" t="s">
        <v>38</v>
      </c>
      <c r="F448" t="s">
        <v>39</v>
      </c>
      <c r="G448" s="14">
        <v>52879</v>
      </c>
      <c r="H448" t="s">
        <v>53</v>
      </c>
      <c r="I448" t="s">
        <v>78</v>
      </c>
      <c r="J448" t="s">
        <v>587</v>
      </c>
      <c r="K448">
        <f t="shared" si="32"/>
        <v>1</v>
      </c>
      <c r="L448">
        <f t="shared" si="33"/>
        <v>0</v>
      </c>
      <c r="M448">
        <f t="shared" si="34"/>
        <v>1</v>
      </c>
    </row>
    <row r="449" spans="1:13">
      <c r="A449">
        <v>341</v>
      </c>
      <c r="B449" s="13">
        <v>42601</v>
      </c>
      <c r="C449">
        <f t="shared" si="30"/>
        <v>2016</v>
      </c>
      <c r="D449">
        <f t="shared" si="31"/>
        <v>8</v>
      </c>
      <c r="E449" t="s">
        <v>47</v>
      </c>
      <c r="F449" t="s">
        <v>52</v>
      </c>
      <c r="G449" s="14">
        <v>64315</v>
      </c>
      <c r="H449" t="s">
        <v>49</v>
      </c>
      <c r="I449" t="s">
        <v>50</v>
      </c>
      <c r="J449" t="s">
        <v>588</v>
      </c>
      <c r="K449">
        <f t="shared" si="32"/>
        <v>1</v>
      </c>
      <c r="L449">
        <f t="shared" si="33"/>
        <v>0</v>
      </c>
      <c r="M449">
        <f t="shared" si="34"/>
        <v>1</v>
      </c>
    </row>
    <row r="450" spans="1:13">
      <c r="A450">
        <v>311</v>
      </c>
      <c r="B450" s="13">
        <v>42606</v>
      </c>
      <c r="C450">
        <f t="shared" ref="C450:C513" si="35">YEAR(B450)</f>
        <v>2016</v>
      </c>
      <c r="D450">
        <f t="shared" ref="D450:D513" si="36">MONTH(B450)</f>
        <v>8</v>
      </c>
      <c r="E450" t="s">
        <v>38</v>
      </c>
      <c r="F450" t="s">
        <v>227</v>
      </c>
      <c r="G450" s="14">
        <v>51349</v>
      </c>
      <c r="H450" t="s">
        <v>81</v>
      </c>
      <c r="I450" t="s">
        <v>108</v>
      </c>
      <c r="J450" t="s">
        <v>589</v>
      </c>
      <c r="K450">
        <f t="shared" ref="K450:K513" si="37">IF(AND(OR(sel_ano="Todos",C450=sel_ano),OR(sel_pais="Todos",H450=sel_pais),OR(sel_marca="Todas",E450=sel_marca)),1,0)</f>
        <v>1</v>
      </c>
      <c r="L450">
        <f t="shared" ref="L450:L513" si="38">IF(sel_ano="Todos",0,IF(AND(C450=sel_ano-1,OR(sel_pais="Todos",H450=sel_pais),OR(sel_marca="Todas",E450=sel_marca)),1,0))</f>
        <v>0</v>
      </c>
      <c r="M450">
        <f t="shared" ref="M450:M513" si="39">IF(AND(OR(sel_pais="Todos",H450=sel_pais),OR(sel_marca="Todas",E450=sel_marca)),1,0)</f>
        <v>1</v>
      </c>
    </row>
    <row r="451" spans="1:13">
      <c r="A451">
        <v>272</v>
      </c>
      <c r="B451" s="13">
        <v>42612</v>
      </c>
      <c r="C451">
        <f t="shared" si="35"/>
        <v>2016</v>
      </c>
      <c r="D451">
        <f t="shared" si="36"/>
        <v>8</v>
      </c>
      <c r="E451" t="s">
        <v>94</v>
      </c>
      <c r="F451" t="s">
        <v>95</v>
      </c>
      <c r="G451" s="14">
        <v>40222</v>
      </c>
      <c r="H451" t="s">
        <v>53</v>
      </c>
      <c r="I451" t="s">
        <v>54</v>
      </c>
      <c r="J451" t="s">
        <v>590</v>
      </c>
      <c r="K451">
        <f t="shared" si="37"/>
        <v>1</v>
      </c>
      <c r="L451">
        <f t="shared" si="38"/>
        <v>0</v>
      </c>
      <c r="M451">
        <f t="shared" si="39"/>
        <v>1</v>
      </c>
    </row>
    <row r="452" spans="1:13">
      <c r="A452">
        <v>684</v>
      </c>
      <c r="B452" s="13">
        <v>42612</v>
      </c>
      <c r="C452">
        <f t="shared" si="35"/>
        <v>2016</v>
      </c>
      <c r="D452">
        <f t="shared" si="36"/>
        <v>8</v>
      </c>
      <c r="E452" t="s">
        <v>73</v>
      </c>
      <c r="F452" t="s">
        <v>119</v>
      </c>
      <c r="G452" s="14">
        <v>75135</v>
      </c>
      <c r="H452" t="s">
        <v>60</v>
      </c>
      <c r="I452" t="s">
        <v>199</v>
      </c>
      <c r="J452" t="s">
        <v>591</v>
      </c>
      <c r="K452">
        <f t="shared" si="37"/>
        <v>1</v>
      </c>
      <c r="L452">
        <f t="shared" si="38"/>
        <v>0</v>
      </c>
      <c r="M452">
        <f t="shared" si="39"/>
        <v>1</v>
      </c>
    </row>
    <row r="453" spans="1:13">
      <c r="A453">
        <v>364</v>
      </c>
      <c r="B453" s="13">
        <v>42613</v>
      </c>
      <c r="C453">
        <f t="shared" si="35"/>
        <v>2016</v>
      </c>
      <c r="D453">
        <f t="shared" si="36"/>
        <v>8</v>
      </c>
      <c r="E453" t="s">
        <v>76</v>
      </c>
      <c r="F453" t="s">
        <v>294</v>
      </c>
      <c r="G453" s="14">
        <v>57367</v>
      </c>
      <c r="H453" t="s">
        <v>40</v>
      </c>
      <c r="I453" t="s">
        <v>444</v>
      </c>
      <c r="J453" t="s">
        <v>592</v>
      </c>
      <c r="K453">
        <f t="shared" si="37"/>
        <v>1</v>
      </c>
      <c r="L453">
        <f t="shared" si="38"/>
        <v>0</v>
      </c>
      <c r="M453">
        <f t="shared" si="39"/>
        <v>1</v>
      </c>
    </row>
    <row r="454" spans="1:13">
      <c r="A454">
        <v>858</v>
      </c>
      <c r="B454" s="13">
        <v>42613</v>
      </c>
      <c r="C454">
        <f t="shared" si="35"/>
        <v>2016</v>
      </c>
      <c r="D454">
        <f t="shared" si="36"/>
        <v>8</v>
      </c>
      <c r="E454" t="s">
        <v>76</v>
      </c>
      <c r="F454" t="s">
        <v>129</v>
      </c>
      <c r="G454" s="14">
        <v>47826</v>
      </c>
      <c r="H454" t="s">
        <v>40</v>
      </c>
      <c r="I454" t="s">
        <v>142</v>
      </c>
      <c r="J454" t="s">
        <v>593</v>
      </c>
      <c r="K454">
        <f t="shared" si="37"/>
        <v>1</v>
      </c>
      <c r="L454">
        <f t="shared" si="38"/>
        <v>0</v>
      </c>
      <c r="M454">
        <f t="shared" si="39"/>
        <v>1</v>
      </c>
    </row>
    <row r="455" spans="1:13">
      <c r="A455">
        <v>201</v>
      </c>
      <c r="B455" s="13">
        <v>42615</v>
      </c>
      <c r="C455">
        <f t="shared" si="35"/>
        <v>2016</v>
      </c>
      <c r="D455">
        <f t="shared" si="36"/>
        <v>9</v>
      </c>
      <c r="E455" t="s">
        <v>38</v>
      </c>
      <c r="F455" t="s">
        <v>165</v>
      </c>
      <c r="G455" s="14">
        <v>50413</v>
      </c>
      <c r="H455" t="s">
        <v>81</v>
      </c>
      <c r="I455" t="s">
        <v>190</v>
      </c>
      <c r="J455" t="s">
        <v>594</v>
      </c>
      <c r="K455">
        <f t="shared" si="37"/>
        <v>1</v>
      </c>
      <c r="L455">
        <f t="shared" si="38"/>
        <v>0</v>
      </c>
      <c r="M455">
        <f t="shared" si="39"/>
        <v>1</v>
      </c>
    </row>
    <row r="456" spans="1:13">
      <c r="A456">
        <v>690</v>
      </c>
      <c r="B456" s="13">
        <v>42618</v>
      </c>
      <c r="C456">
        <f t="shared" si="35"/>
        <v>2016</v>
      </c>
      <c r="D456">
        <f t="shared" si="36"/>
        <v>9</v>
      </c>
      <c r="E456" t="s">
        <v>43</v>
      </c>
      <c r="F456" t="s">
        <v>380</v>
      </c>
      <c r="G456" s="14">
        <v>69038</v>
      </c>
      <c r="H456" t="s">
        <v>40</v>
      </c>
      <c r="I456" t="s">
        <v>270</v>
      </c>
      <c r="J456" t="s">
        <v>595</v>
      </c>
      <c r="K456">
        <f t="shared" si="37"/>
        <v>1</v>
      </c>
      <c r="L456">
        <f t="shared" si="38"/>
        <v>0</v>
      </c>
      <c r="M456">
        <f t="shared" si="39"/>
        <v>1</v>
      </c>
    </row>
    <row r="457" spans="1:13">
      <c r="A457">
        <v>334</v>
      </c>
      <c r="B457" s="13">
        <v>42622</v>
      </c>
      <c r="C457">
        <f t="shared" si="35"/>
        <v>2016</v>
      </c>
      <c r="D457">
        <f t="shared" si="36"/>
        <v>9</v>
      </c>
      <c r="E457" t="s">
        <v>43</v>
      </c>
      <c r="F457" t="s">
        <v>67</v>
      </c>
      <c r="G457" s="14">
        <v>69083</v>
      </c>
      <c r="H457" t="s">
        <v>53</v>
      </c>
      <c r="I457" t="s">
        <v>68</v>
      </c>
      <c r="J457" t="s">
        <v>596</v>
      </c>
      <c r="K457">
        <f t="shared" si="37"/>
        <v>1</v>
      </c>
      <c r="L457">
        <f t="shared" si="38"/>
        <v>0</v>
      </c>
      <c r="M457">
        <f t="shared" si="39"/>
        <v>1</v>
      </c>
    </row>
    <row r="458" spans="1:13">
      <c r="A458">
        <v>665</v>
      </c>
      <c r="B458" s="13">
        <v>42622</v>
      </c>
      <c r="C458">
        <f t="shared" si="35"/>
        <v>2016</v>
      </c>
      <c r="D458">
        <f t="shared" si="36"/>
        <v>9</v>
      </c>
      <c r="E458" t="s">
        <v>43</v>
      </c>
      <c r="F458" t="s">
        <v>380</v>
      </c>
      <c r="G458" s="14">
        <v>58126</v>
      </c>
      <c r="H458" t="s">
        <v>57</v>
      </c>
      <c r="I458" t="s">
        <v>65</v>
      </c>
      <c r="J458" t="s">
        <v>597</v>
      </c>
      <c r="K458">
        <f t="shared" si="37"/>
        <v>1</v>
      </c>
      <c r="L458">
        <f t="shared" si="38"/>
        <v>0</v>
      </c>
      <c r="M458">
        <f t="shared" si="39"/>
        <v>1</v>
      </c>
    </row>
    <row r="459" spans="1:13">
      <c r="A459">
        <v>930</v>
      </c>
      <c r="B459" s="13">
        <v>42625</v>
      </c>
      <c r="C459">
        <f t="shared" si="35"/>
        <v>2016</v>
      </c>
      <c r="D459">
        <f t="shared" si="36"/>
        <v>9</v>
      </c>
      <c r="E459" t="s">
        <v>73</v>
      </c>
      <c r="F459" t="s">
        <v>102</v>
      </c>
      <c r="G459" s="14">
        <v>76207</v>
      </c>
      <c r="H459" t="s">
        <v>81</v>
      </c>
      <c r="I459" t="s">
        <v>82</v>
      </c>
      <c r="J459" t="s">
        <v>598</v>
      </c>
      <c r="K459">
        <f t="shared" si="37"/>
        <v>1</v>
      </c>
      <c r="L459">
        <f t="shared" si="38"/>
        <v>0</v>
      </c>
      <c r="M459">
        <f t="shared" si="39"/>
        <v>1</v>
      </c>
    </row>
    <row r="460" spans="1:13">
      <c r="A460">
        <v>350</v>
      </c>
      <c r="B460" s="13">
        <v>42628</v>
      </c>
      <c r="C460">
        <f t="shared" si="35"/>
        <v>2016</v>
      </c>
      <c r="D460">
        <f t="shared" si="36"/>
        <v>9</v>
      </c>
      <c r="E460" t="s">
        <v>76</v>
      </c>
      <c r="F460" t="s">
        <v>110</v>
      </c>
      <c r="G460" s="14">
        <v>40595</v>
      </c>
      <c r="H460" t="s">
        <v>49</v>
      </c>
      <c r="I460" t="s">
        <v>50</v>
      </c>
      <c r="J460" t="s">
        <v>599</v>
      </c>
      <c r="K460">
        <f t="shared" si="37"/>
        <v>1</v>
      </c>
      <c r="L460">
        <f t="shared" si="38"/>
        <v>0</v>
      </c>
      <c r="M460">
        <f t="shared" si="39"/>
        <v>1</v>
      </c>
    </row>
    <row r="461" spans="1:13">
      <c r="A461">
        <v>316</v>
      </c>
      <c r="B461" s="13">
        <v>42629</v>
      </c>
      <c r="C461">
        <f t="shared" si="35"/>
        <v>2016</v>
      </c>
      <c r="D461">
        <f t="shared" si="36"/>
        <v>9</v>
      </c>
      <c r="E461" t="s">
        <v>76</v>
      </c>
      <c r="F461" t="s">
        <v>110</v>
      </c>
      <c r="G461" s="14">
        <v>56072</v>
      </c>
      <c r="H461" t="s">
        <v>49</v>
      </c>
      <c r="I461" t="s">
        <v>103</v>
      </c>
      <c r="J461" t="s">
        <v>600</v>
      </c>
      <c r="K461">
        <f t="shared" si="37"/>
        <v>1</v>
      </c>
      <c r="L461">
        <f t="shared" si="38"/>
        <v>0</v>
      </c>
      <c r="M461">
        <f t="shared" si="39"/>
        <v>1</v>
      </c>
    </row>
    <row r="462" spans="1:13">
      <c r="A462">
        <v>34</v>
      </c>
      <c r="B462" s="13">
        <v>42633</v>
      </c>
      <c r="C462">
        <f t="shared" si="35"/>
        <v>2016</v>
      </c>
      <c r="D462">
        <f t="shared" si="36"/>
        <v>9</v>
      </c>
      <c r="E462" t="s">
        <v>43</v>
      </c>
      <c r="F462" t="s">
        <v>87</v>
      </c>
      <c r="G462" s="14">
        <v>79319</v>
      </c>
      <c r="H462" t="s">
        <v>49</v>
      </c>
      <c r="I462" t="s">
        <v>122</v>
      </c>
      <c r="J462" t="s">
        <v>601</v>
      </c>
      <c r="K462">
        <f t="shared" si="37"/>
        <v>1</v>
      </c>
      <c r="L462">
        <f t="shared" si="38"/>
        <v>0</v>
      </c>
      <c r="M462">
        <f t="shared" si="39"/>
        <v>1</v>
      </c>
    </row>
    <row r="463" spans="1:13">
      <c r="A463">
        <v>759</v>
      </c>
      <c r="B463" s="13">
        <v>42641</v>
      </c>
      <c r="C463">
        <f t="shared" si="35"/>
        <v>2016</v>
      </c>
      <c r="D463">
        <f t="shared" si="36"/>
        <v>9</v>
      </c>
      <c r="E463" t="s">
        <v>43</v>
      </c>
      <c r="F463" t="s">
        <v>44</v>
      </c>
      <c r="G463" s="14">
        <v>68626</v>
      </c>
      <c r="H463" t="s">
        <v>40</v>
      </c>
      <c r="I463" t="s">
        <v>98</v>
      </c>
      <c r="J463" t="s">
        <v>602</v>
      </c>
      <c r="K463">
        <f t="shared" si="37"/>
        <v>1</v>
      </c>
      <c r="L463">
        <f t="shared" si="38"/>
        <v>0</v>
      </c>
      <c r="M463">
        <f t="shared" si="39"/>
        <v>1</v>
      </c>
    </row>
    <row r="464" spans="1:13">
      <c r="A464">
        <v>242</v>
      </c>
      <c r="B464" s="13">
        <v>42650</v>
      </c>
      <c r="C464">
        <f t="shared" si="35"/>
        <v>2016</v>
      </c>
      <c r="D464">
        <f t="shared" si="36"/>
        <v>10</v>
      </c>
      <c r="E464" t="s">
        <v>73</v>
      </c>
      <c r="F464" t="s">
        <v>119</v>
      </c>
      <c r="G464" s="14">
        <v>70906</v>
      </c>
      <c r="H464" t="s">
        <v>60</v>
      </c>
      <c r="I464" t="s">
        <v>114</v>
      </c>
      <c r="J464" t="s">
        <v>603</v>
      </c>
      <c r="K464">
        <f t="shared" si="37"/>
        <v>1</v>
      </c>
      <c r="L464">
        <f t="shared" si="38"/>
        <v>0</v>
      </c>
      <c r="M464">
        <f t="shared" si="39"/>
        <v>1</v>
      </c>
    </row>
    <row r="465" spans="1:13">
      <c r="A465">
        <v>669</v>
      </c>
      <c r="B465" s="13">
        <v>42652</v>
      </c>
      <c r="C465">
        <f t="shared" si="35"/>
        <v>2016</v>
      </c>
      <c r="D465">
        <f t="shared" si="36"/>
        <v>10</v>
      </c>
      <c r="E465" t="s">
        <v>94</v>
      </c>
      <c r="F465" t="s">
        <v>192</v>
      </c>
      <c r="G465" s="14">
        <v>52354</v>
      </c>
      <c r="H465" t="s">
        <v>57</v>
      </c>
      <c r="I465" t="s">
        <v>106</v>
      </c>
      <c r="J465" t="s">
        <v>604</v>
      </c>
      <c r="K465">
        <f t="shared" si="37"/>
        <v>1</v>
      </c>
      <c r="L465">
        <f t="shared" si="38"/>
        <v>0</v>
      </c>
      <c r="M465">
        <f t="shared" si="39"/>
        <v>1</v>
      </c>
    </row>
    <row r="466" spans="1:13">
      <c r="A466">
        <v>720</v>
      </c>
      <c r="B466" s="13">
        <v>42653</v>
      </c>
      <c r="C466">
        <f t="shared" si="35"/>
        <v>2016</v>
      </c>
      <c r="D466">
        <f t="shared" si="36"/>
        <v>10</v>
      </c>
      <c r="E466" t="s">
        <v>76</v>
      </c>
      <c r="F466" t="s">
        <v>110</v>
      </c>
      <c r="G466" s="14">
        <v>48139</v>
      </c>
      <c r="H466" t="s">
        <v>53</v>
      </c>
      <c r="I466" t="s">
        <v>54</v>
      </c>
      <c r="J466" t="s">
        <v>605</v>
      </c>
      <c r="K466">
        <f t="shared" si="37"/>
        <v>1</v>
      </c>
      <c r="L466">
        <f t="shared" si="38"/>
        <v>0</v>
      </c>
      <c r="M466">
        <f t="shared" si="39"/>
        <v>1</v>
      </c>
    </row>
    <row r="467" spans="1:13">
      <c r="A467">
        <v>346</v>
      </c>
      <c r="B467" s="13">
        <v>42654</v>
      </c>
      <c r="C467">
        <f t="shared" si="35"/>
        <v>2016</v>
      </c>
      <c r="D467">
        <f t="shared" si="36"/>
        <v>10</v>
      </c>
      <c r="E467" t="s">
        <v>76</v>
      </c>
      <c r="F467" t="s">
        <v>294</v>
      </c>
      <c r="G467" s="14">
        <v>74705</v>
      </c>
      <c r="H467" t="s">
        <v>40</v>
      </c>
      <c r="I467" t="s">
        <v>45</v>
      </c>
      <c r="J467" t="s">
        <v>606</v>
      </c>
      <c r="K467">
        <f t="shared" si="37"/>
        <v>1</v>
      </c>
      <c r="L467">
        <f t="shared" si="38"/>
        <v>0</v>
      </c>
      <c r="M467">
        <f t="shared" si="39"/>
        <v>1</v>
      </c>
    </row>
    <row r="468" spans="1:13">
      <c r="A468">
        <v>726</v>
      </c>
      <c r="B468" s="13">
        <v>42656</v>
      </c>
      <c r="C468">
        <f t="shared" si="35"/>
        <v>2016</v>
      </c>
      <c r="D468">
        <f t="shared" si="36"/>
        <v>10</v>
      </c>
      <c r="E468" t="s">
        <v>73</v>
      </c>
      <c r="F468" t="s">
        <v>102</v>
      </c>
      <c r="G468" s="14">
        <v>75096</v>
      </c>
      <c r="H468" t="s">
        <v>53</v>
      </c>
      <c r="I468" t="s">
        <v>68</v>
      </c>
      <c r="J468" t="s">
        <v>607</v>
      </c>
      <c r="K468">
        <f t="shared" si="37"/>
        <v>1</v>
      </c>
      <c r="L468">
        <f t="shared" si="38"/>
        <v>0</v>
      </c>
      <c r="M468">
        <f t="shared" si="39"/>
        <v>1</v>
      </c>
    </row>
    <row r="469" spans="1:13">
      <c r="A469">
        <v>671</v>
      </c>
      <c r="B469" s="13">
        <v>42660</v>
      </c>
      <c r="C469">
        <f t="shared" si="35"/>
        <v>2016</v>
      </c>
      <c r="D469">
        <f t="shared" si="36"/>
        <v>10</v>
      </c>
      <c r="E469" t="s">
        <v>94</v>
      </c>
      <c r="F469" t="s">
        <v>148</v>
      </c>
      <c r="G469" s="14">
        <v>61547</v>
      </c>
      <c r="H469" t="s">
        <v>57</v>
      </c>
      <c r="I469" t="s">
        <v>160</v>
      </c>
      <c r="J469" t="s">
        <v>608</v>
      </c>
      <c r="K469">
        <f t="shared" si="37"/>
        <v>1</v>
      </c>
      <c r="L469">
        <f t="shared" si="38"/>
        <v>0</v>
      </c>
      <c r="M469">
        <f t="shared" si="39"/>
        <v>1</v>
      </c>
    </row>
    <row r="470" spans="1:13">
      <c r="A470">
        <v>924</v>
      </c>
      <c r="B470" s="13">
        <v>42660</v>
      </c>
      <c r="C470">
        <f t="shared" si="35"/>
        <v>2016</v>
      </c>
      <c r="D470">
        <f t="shared" si="36"/>
        <v>10</v>
      </c>
      <c r="E470" t="s">
        <v>76</v>
      </c>
      <c r="F470" t="s">
        <v>77</v>
      </c>
      <c r="G470" s="14">
        <v>54774</v>
      </c>
      <c r="H470" t="s">
        <v>49</v>
      </c>
      <c r="I470" t="s">
        <v>96</v>
      </c>
      <c r="J470" t="s">
        <v>609</v>
      </c>
      <c r="K470">
        <f t="shared" si="37"/>
        <v>1</v>
      </c>
      <c r="L470">
        <f t="shared" si="38"/>
        <v>0</v>
      </c>
      <c r="M470">
        <f t="shared" si="39"/>
        <v>1</v>
      </c>
    </row>
    <row r="471" spans="1:13">
      <c r="A471">
        <v>424</v>
      </c>
      <c r="B471" s="13">
        <v>42661</v>
      </c>
      <c r="C471">
        <f t="shared" si="35"/>
        <v>2016</v>
      </c>
      <c r="D471">
        <f t="shared" si="36"/>
        <v>10</v>
      </c>
      <c r="E471" t="s">
        <v>38</v>
      </c>
      <c r="F471" t="s">
        <v>236</v>
      </c>
      <c r="G471" s="14">
        <v>50156</v>
      </c>
      <c r="H471" t="s">
        <v>60</v>
      </c>
      <c r="I471" t="s">
        <v>188</v>
      </c>
      <c r="J471" t="s">
        <v>610</v>
      </c>
      <c r="K471">
        <f t="shared" si="37"/>
        <v>1</v>
      </c>
      <c r="L471">
        <f t="shared" si="38"/>
        <v>0</v>
      </c>
      <c r="M471">
        <f t="shared" si="39"/>
        <v>1</v>
      </c>
    </row>
    <row r="472" spans="1:13">
      <c r="A472">
        <v>836</v>
      </c>
      <c r="B472" s="13">
        <v>42662</v>
      </c>
      <c r="C472">
        <f t="shared" si="35"/>
        <v>2016</v>
      </c>
      <c r="D472">
        <f t="shared" si="36"/>
        <v>10</v>
      </c>
      <c r="E472" t="s">
        <v>43</v>
      </c>
      <c r="F472" t="s">
        <v>70</v>
      </c>
      <c r="G472" s="14">
        <v>52696</v>
      </c>
      <c r="H472" t="s">
        <v>49</v>
      </c>
      <c r="I472" t="s">
        <v>103</v>
      </c>
      <c r="J472" t="s">
        <v>611</v>
      </c>
      <c r="K472">
        <f t="shared" si="37"/>
        <v>1</v>
      </c>
      <c r="L472">
        <f t="shared" si="38"/>
        <v>0</v>
      </c>
      <c r="M472">
        <f t="shared" si="39"/>
        <v>1</v>
      </c>
    </row>
    <row r="473" spans="1:13">
      <c r="A473">
        <v>510</v>
      </c>
      <c r="B473" s="13">
        <v>42663</v>
      </c>
      <c r="C473">
        <f t="shared" si="35"/>
        <v>2016</v>
      </c>
      <c r="D473">
        <f t="shared" si="36"/>
        <v>10</v>
      </c>
      <c r="E473" t="s">
        <v>38</v>
      </c>
      <c r="F473" t="s">
        <v>56</v>
      </c>
      <c r="G473" s="14">
        <v>63433</v>
      </c>
      <c r="H473" t="s">
        <v>53</v>
      </c>
      <c r="I473" t="s">
        <v>92</v>
      </c>
      <c r="J473" t="s">
        <v>612</v>
      </c>
      <c r="K473">
        <f t="shared" si="37"/>
        <v>1</v>
      </c>
      <c r="L473">
        <f t="shared" si="38"/>
        <v>0</v>
      </c>
      <c r="M473">
        <f t="shared" si="39"/>
        <v>1</v>
      </c>
    </row>
    <row r="474" spans="1:13">
      <c r="A474">
        <v>682</v>
      </c>
      <c r="B474" s="13">
        <v>42664</v>
      </c>
      <c r="C474">
        <f t="shared" si="35"/>
        <v>2016</v>
      </c>
      <c r="D474">
        <f t="shared" si="36"/>
        <v>10</v>
      </c>
      <c r="E474" t="s">
        <v>76</v>
      </c>
      <c r="F474" t="s">
        <v>110</v>
      </c>
      <c r="G474" s="14">
        <v>48803</v>
      </c>
      <c r="H474" t="s">
        <v>53</v>
      </c>
      <c r="I474" t="s">
        <v>78</v>
      </c>
      <c r="J474" t="s">
        <v>613</v>
      </c>
      <c r="K474">
        <f t="shared" si="37"/>
        <v>1</v>
      </c>
      <c r="L474">
        <f t="shared" si="38"/>
        <v>0</v>
      </c>
      <c r="M474">
        <f t="shared" si="39"/>
        <v>1</v>
      </c>
    </row>
    <row r="475" spans="1:13">
      <c r="A475">
        <v>900</v>
      </c>
      <c r="B475" s="13">
        <v>42667</v>
      </c>
      <c r="C475">
        <f t="shared" si="35"/>
        <v>2016</v>
      </c>
      <c r="D475">
        <f t="shared" si="36"/>
        <v>10</v>
      </c>
      <c r="E475" t="s">
        <v>73</v>
      </c>
      <c r="F475" t="s">
        <v>74</v>
      </c>
      <c r="G475" s="14">
        <v>55502</v>
      </c>
      <c r="H475" t="s">
        <v>81</v>
      </c>
      <c r="I475" t="s">
        <v>153</v>
      </c>
      <c r="J475" t="s">
        <v>614</v>
      </c>
      <c r="K475">
        <f t="shared" si="37"/>
        <v>1</v>
      </c>
      <c r="L475">
        <f t="shared" si="38"/>
        <v>0</v>
      </c>
      <c r="M475">
        <f t="shared" si="39"/>
        <v>1</v>
      </c>
    </row>
    <row r="476" spans="1:13">
      <c r="A476">
        <v>937</v>
      </c>
      <c r="B476" s="13">
        <v>42668</v>
      </c>
      <c r="C476">
        <f t="shared" si="35"/>
        <v>2016</v>
      </c>
      <c r="D476">
        <f t="shared" si="36"/>
        <v>10</v>
      </c>
      <c r="E476" t="s">
        <v>76</v>
      </c>
      <c r="F476" t="s">
        <v>207</v>
      </c>
      <c r="G476" s="14">
        <v>72476</v>
      </c>
      <c r="H476" t="s">
        <v>40</v>
      </c>
      <c r="I476" t="s">
        <v>45</v>
      </c>
      <c r="J476" t="s">
        <v>615</v>
      </c>
      <c r="K476">
        <f t="shared" si="37"/>
        <v>1</v>
      </c>
      <c r="L476">
        <f t="shared" si="38"/>
        <v>0</v>
      </c>
      <c r="M476">
        <f t="shared" si="39"/>
        <v>1</v>
      </c>
    </row>
    <row r="477" spans="1:13">
      <c r="A477">
        <v>340</v>
      </c>
      <c r="B477" s="13">
        <v>42671</v>
      </c>
      <c r="C477">
        <f t="shared" si="35"/>
        <v>2016</v>
      </c>
      <c r="D477">
        <f t="shared" si="36"/>
        <v>10</v>
      </c>
      <c r="E477" t="s">
        <v>47</v>
      </c>
      <c r="F477" t="s">
        <v>182</v>
      </c>
      <c r="G477" s="14">
        <v>64548</v>
      </c>
      <c r="H477" t="s">
        <v>53</v>
      </c>
      <c r="I477" t="s">
        <v>120</v>
      </c>
      <c r="J477" t="s">
        <v>616</v>
      </c>
      <c r="K477">
        <f t="shared" si="37"/>
        <v>1</v>
      </c>
      <c r="L477">
        <f t="shared" si="38"/>
        <v>0</v>
      </c>
      <c r="M477">
        <f t="shared" si="39"/>
        <v>1</v>
      </c>
    </row>
    <row r="478" spans="1:13">
      <c r="A478">
        <v>9</v>
      </c>
      <c r="B478" s="13">
        <v>42675</v>
      </c>
      <c r="C478">
        <f t="shared" si="35"/>
        <v>2016</v>
      </c>
      <c r="D478">
        <f t="shared" si="36"/>
        <v>11</v>
      </c>
      <c r="E478" t="s">
        <v>76</v>
      </c>
      <c r="F478" t="s">
        <v>91</v>
      </c>
      <c r="G478" s="14">
        <v>63343</v>
      </c>
      <c r="H478" t="s">
        <v>53</v>
      </c>
      <c r="I478" t="s">
        <v>120</v>
      </c>
      <c r="J478" t="s">
        <v>617</v>
      </c>
      <c r="K478">
        <f t="shared" si="37"/>
        <v>1</v>
      </c>
      <c r="L478">
        <f t="shared" si="38"/>
        <v>0</v>
      </c>
      <c r="M478">
        <f t="shared" si="39"/>
        <v>1</v>
      </c>
    </row>
    <row r="479" spans="1:13">
      <c r="A479">
        <v>722</v>
      </c>
      <c r="B479" s="13">
        <v>42677</v>
      </c>
      <c r="C479">
        <f t="shared" si="35"/>
        <v>2016</v>
      </c>
      <c r="D479">
        <f t="shared" si="36"/>
        <v>11</v>
      </c>
      <c r="E479" t="s">
        <v>43</v>
      </c>
      <c r="F479" t="s">
        <v>251</v>
      </c>
      <c r="G479" s="14">
        <v>49865</v>
      </c>
      <c r="H479" t="s">
        <v>40</v>
      </c>
      <c r="I479" t="s">
        <v>98</v>
      </c>
      <c r="J479" t="s">
        <v>618</v>
      </c>
      <c r="K479">
        <f t="shared" si="37"/>
        <v>1</v>
      </c>
      <c r="L479">
        <f t="shared" si="38"/>
        <v>0</v>
      </c>
      <c r="M479">
        <f t="shared" si="39"/>
        <v>1</v>
      </c>
    </row>
    <row r="480" spans="1:13">
      <c r="A480">
        <v>461</v>
      </c>
      <c r="B480" s="13">
        <v>42685</v>
      </c>
      <c r="C480">
        <f t="shared" si="35"/>
        <v>2016</v>
      </c>
      <c r="D480">
        <f t="shared" si="36"/>
        <v>11</v>
      </c>
      <c r="E480" t="s">
        <v>38</v>
      </c>
      <c r="F480" t="s">
        <v>126</v>
      </c>
      <c r="G480" s="14">
        <v>50889</v>
      </c>
      <c r="H480" t="s">
        <v>60</v>
      </c>
      <c r="I480" t="s">
        <v>71</v>
      </c>
      <c r="J480" t="s">
        <v>619</v>
      </c>
      <c r="K480">
        <f t="shared" si="37"/>
        <v>1</v>
      </c>
      <c r="L480">
        <f t="shared" si="38"/>
        <v>0</v>
      </c>
      <c r="M480">
        <f t="shared" si="39"/>
        <v>1</v>
      </c>
    </row>
    <row r="481" spans="1:13">
      <c r="A481">
        <v>186</v>
      </c>
      <c r="B481" s="13">
        <v>42693</v>
      </c>
      <c r="C481">
        <f t="shared" si="35"/>
        <v>2016</v>
      </c>
      <c r="D481">
        <f t="shared" si="36"/>
        <v>11</v>
      </c>
      <c r="E481" t="s">
        <v>43</v>
      </c>
      <c r="F481" t="s">
        <v>251</v>
      </c>
      <c r="G481" s="14">
        <v>46546</v>
      </c>
      <c r="H481" t="s">
        <v>40</v>
      </c>
      <c r="I481" t="s">
        <v>98</v>
      </c>
      <c r="J481" t="s">
        <v>620</v>
      </c>
      <c r="K481">
        <f t="shared" si="37"/>
        <v>1</v>
      </c>
      <c r="L481">
        <f t="shared" si="38"/>
        <v>0</v>
      </c>
      <c r="M481">
        <f t="shared" si="39"/>
        <v>1</v>
      </c>
    </row>
    <row r="482" spans="1:13">
      <c r="A482">
        <v>523</v>
      </c>
      <c r="B482" s="13">
        <v>42695</v>
      </c>
      <c r="C482">
        <f t="shared" si="35"/>
        <v>2016</v>
      </c>
      <c r="D482">
        <f t="shared" si="36"/>
        <v>11</v>
      </c>
      <c r="E482" t="s">
        <v>94</v>
      </c>
      <c r="F482" t="s">
        <v>95</v>
      </c>
      <c r="G482" s="14">
        <v>58595.81</v>
      </c>
      <c r="H482" t="s">
        <v>49</v>
      </c>
      <c r="I482" t="s">
        <v>151</v>
      </c>
      <c r="J482" t="s">
        <v>621</v>
      </c>
      <c r="K482">
        <f t="shared" si="37"/>
        <v>1</v>
      </c>
      <c r="L482">
        <f t="shared" si="38"/>
        <v>0</v>
      </c>
      <c r="M482">
        <f t="shared" si="39"/>
        <v>1</v>
      </c>
    </row>
    <row r="483" spans="1:13">
      <c r="A483">
        <v>660</v>
      </c>
      <c r="B483" s="13">
        <v>42695</v>
      </c>
      <c r="C483">
        <f t="shared" si="35"/>
        <v>2016</v>
      </c>
      <c r="D483">
        <f t="shared" si="36"/>
        <v>11</v>
      </c>
      <c r="E483" t="s">
        <v>43</v>
      </c>
      <c r="F483" t="s">
        <v>197</v>
      </c>
      <c r="G483" s="14">
        <v>66725</v>
      </c>
      <c r="H483" t="s">
        <v>40</v>
      </c>
      <c r="I483" t="s">
        <v>98</v>
      </c>
      <c r="J483" t="s">
        <v>622</v>
      </c>
      <c r="K483">
        <f t="shared" si="37"/>
        <v>1</v>
      </c>
      <c r="L483">
        <f t="shared" si="38"/>
        <v>0</v>
      </c>
      <c r="M483">
        <f t="shared" si="39"/>
        <v>1</v>
      </c>
    </row>
    <row r="484" spans="1:13">
      <c r="A484">
        <v>692</v>
      </c>
      <c r="B484" s="13">
        <v>42695</v>
      </c>
      <c r="C484">
        <f t="shared" si="35"/>
        <v>2016</v>
      </c>
      <c r="D484">
        <f t="shared" si="36"/>
        <v>11</v>
      </c>
      <c r="E484" t="s">
        <v>47</v>
      </c>
      <c r="F484" t="s">
        <v>48</v>
      </c>
      <c r="G484" s="14">
        <v>52667</v>
      </c>
      <c r="H484" t="s">
        <v>57</v>
      </c>
      <c r="I484" t="s">
        <v>160</v>
      </c>
      <c r="J484" t="s">
        <v>623</v>
      </c>
      <c r="K484">
        <f t="shared" si="37"/>
        <v>1</v>
      </c>
      <c r="L484">
        <f t="shared" si="38"/>
        <v>0</v>
      </c>
      <c r="M484">
        <f t="shared" si="39"/>
        <v>1</v>
      </c>
    </row>
    <row r="485" spans="1:13">
      <c r="A485">
        <v>415</v>
      </c>
      <c r="B485" s="13">
        <v>42697</v>
      </c>
      <c r="C485">
        <f t="shared" si="35"/>
        <v>2016</v>
      </c>
      <c r="D485">
        <f t="shared" si="36"/>
        <v>11</v>
      </c>
      <c r="E485" t="s">
        <v>73</v>
      </c>
      <c r="F485" t="s">
        <v>74</v>
      </c>
      <c r="G485" s="14">
        <v>77880</v>
      </c>
      <c r="H485" t="s">
        <v>40</v>
      </c>
      <c r="I485" t="s">
        <v>144</v>
      </c>
      <c r="J485" t="s">
        <v>624</v>
      </c>
      <c r="K485">
        <f t="shared" si="37"/>
        <v>1</v>
      </c>
      <c r="L485">
        <f t="shared" si="38"/>
        <v>0</v>
      </c>
      <c r="M485">
        <f t="shared" si="39"/>
        <v>1</v>
      </c>
    </row>
    <row r="486" spans="1:13">
      <c r="A486">
        <v>911</v>
      </c>
      <c r="B486" s="13">
        <v>42698</v>
      </c>
      <c r="C486">
        <f t="shared" si="35"/>
        <v>2016</v>
      </c>
      <c r="D486">
        <f t="shared" si="36"/>
        <v>11</v>
      </c>
      <c r="E486" t="s">
        <v>63</v>
      </c>
      <c r="F486" t="s">
        <v>425</v>
      </c>
      <c r="G486" s="14">
        <v>50801</v>
      </c>
      <c r="H486" t="s">
        <v>81</v>
      </c>
      <c r="I486" t="s">
        <v>146</v>
      </c>
      <c r="J486" t="s">
        <v>625</v>
      </c>
      <c r="K486">
        <f t="shared" si="37"/>
        <v>1</v>
      </c>
      <c r="L486">
        <f t="shared" si="38"/>
        <v>0</v>
      </c>
      <c r="M486">
        <f t="shared" si="39"/>
        <v>1</v>
      </c>
    </row>
    <row r="487" spans="1:13">
      <c r="A487">
        <v>861</v>
      </c>
      <c r="B487" s="13">
        <v>42700</v>
      </c>
      <c r="C487">
        <f t="shared" si="35"/>
        <v>2016</v>
      </c>
      <c r="D487">
        <f t="shared" si="36"/>
        <v>11</v>
      </c>
      <c r="E487" t="s">
        <v>43</v>
      </c>
      <c r="F487" t="s">
        <v>197</v>
      </c>
      <c r="G487" s="14">
        <v>53156</v>
      </c>
      <c r="H487" t="s">
        <v>53</v>
      </c>
      <c r="I487" t="s">
        <v>92</v>
      </c>
      <c r="J487" t="s">
        <v>626</v>
      </c>
      <c r="K487">
        <f t="shared" si="37"/>
        <v>1</v>
      </c>
      <c r="L487">
        <f t="shared" si="38"/>
        <v>0</v>
      </c>
      <c r="M487">
        <f t="shared" si="39"/>
        <v>1</v>
      </c>
    </row>
    <row r="488" spans="1:13">
      <c r="A488">
        <v>150</v>
      </c>
      <c r="B488" s="13">
        <v>42707</v>
      </c>
      <c r="C488">
        <f t="shared" si="35"/>
        <v>2016</v>
      </c>
      <c r="D488">
        <f t="shared" si="36"/>
        <v>12</v>
      </c>
      <c r="E488" t="s">
        <v>73</v>
      </c>
      <c r="F488" t="s">
        <v>102</v>
      </c>
      <c r="G488" s="14">
        <v>72721</v>
      </c>
      <c r="H488" t="s">
        <v>60</v>
      </c>
      <c r="I488" t="s">
        <v>199</v>
      </c>
      <c r="J488" t="s">
        <v>627</v>
      </c>
      <c r="K488">
        <f t="shared" si="37"/>
        <v>1</v>
      </c>
      <c r="L488">
        <f t="shared" si="38"/>
        <v>0</v>
      </c>
      <c r="M488">
        <f t="shared" si="39"/>
        <v>1</v>
      </c>
    </row>
    <row r="489" spans="1:13">
      <c r="A489">
        <v>929</v>
      </c>
      <c r="B489" s="13">
        <v>42707</v>
      </c>
      <c r="C489">
        <f t="shared" si="35"/>
        <v>2016</v>
      </c>
      <c r="D489">
        <f t="shared" si="36"/>
        <v>12</v>
      </c>
      <c r="E489" t="s">
        <v>47</v>
      </c>
      <c r="F489" t="s">
        <v>48</v>
      </c>
      <c r="G489" s="14">
        <v>70250</v>
      </c>
      <c r="H489" t="s">
        <v>60</v>
      </c>
      <c r="I489" t="s">
        <v>199</v>
      </c>
      <c r="J489" t="s">
        <v>628</v>
      </c>
      <c r="K489">
        <f t="shared" si="37"/>
        <v>1</v>
      </c>
      <c r="L489">
        <f t="shared" si="38"/>
        <v>0</v>
      </c>
      <c r="M489">
        <f t="shared" si="39"/>
        <v>1</v>
      </c>
    </row>
    <row r="490" spans="1:13">
      <c r="A490">
        <v>211</v>
      </c>
      <c r="B490" s="13">
        <v>42711</v>
      </c>
      <c r="C490">
        <f t="shared" si="35"/>
        <v>2016</v>
      </c>
      <c r="D490">
        <f t="shared" si="36"/>
        <v>12</v>
      </c>
      <c r="E490" t="s">
        <v>43</v>
      </c>
      <c r="F490" t="s">
        <v>70</v>
      </c>
      <c r="G490" s="14">
        <v>53170</v>
      </c>
      <c r="H490" t="s">
        <v>57</v>
      </c>
      <c r="I490" t="s">
        <v>160</v>
      </c>
      <c r="J490" t="s">
        <v>629</v>
      </c>
      <c r="K490">
        <f t="shared" si="37"/>
        <v>1</v>
      </c>
      <c r="L490">
        <f t="shared" si="38"/>
        <v>0</v>
      </c>
      <c r="M490">
        <f t="shared" si="39"/>
        <v>1</v>
      </c>
    </row>
    <row r="491" spans="1:13">
      <c r="A491">
        <v>299</v>
      </c>
      <c r="B491" s="13">
        <v>42716</v>
      </c>
      <c r="C491">
        <f t="shared" si="35"/>
        <v>2016</v>
      </c>
      <c r="D491">
        <f t="shared" si="36"/>
        <v>12</v>
      </c>
      <c r="E491" t="s">
        <v>47</v>
      </c>
      <c r="F491" t="s">
        <v>52</v>
      </c>
      <c r="G491" s="14">
        <v>68147</v>
      </c>
      <c r="H491" t="s">
        <v>60</v>
      </c>
      <c r="I491" t="s">
        <v>199</v>
      </c>
      <c r="J491" t="s">
        <v>630</v>
      </c>
      <c r="K491">
        <f t="shared" si="37"/>
        <v>1</v>
      </c>
      <c r="L491">
        <f t="shared" si="38"/>
        <v>0</v>
      </c>
      <c r="M491">
        <f t="shared" si="39"/>
        <v>1</v>
      </c>
    </row>
    <row r="492" spans="1:13">
      <c r="A492">
        <v>322</v>
      </c>
      <c r="B492" s="13">
        <v>42721</v>
      </c>
      <c r="C492">
        <f t="shared" si="35"/>
        <v>2016</v>
      </c>
      <c r="D492">
        <f t="shared" si="36"/>
        <v>12</v>
      </c>
      <c r="E492" t="s">
        <v>38</v>
      </c>
      <c r="F492" t="s">
        <v>126</v>
      </c>
      <c r="G492" s="14">
        <v>56729</v>
      </c>
      <c r="H492" t="s">
        <v>57</v>
      </c>
      <c r="I492" t="s">
        <v>65</v>
      </c>
      <c r="J492" t="s">
        <v>631</v>
      </c>
      <c r="K492">
        <f t="shared" si="37"/>
        <v>1</v>
      </c>
      <c r="L492">
        <f t="shared" si="38"/>
        <v>0</v>
      </c>
      <c r="M492">
        <f t="shared" si="39"/>
        <v>1</v>
      </c>
    </row>
    <row r="493" spans="1:13">
      <c r="A493">
        <v>253</v>
      </c>
      <c r="B493" s="13">
        <v>42722</v>
      </c>
      <c r="C493">
        <f t="shared" si="35"/>
        <v>2016</v>
      </c>
      <c r="D493">
        <f t="shared" si="36"/>
        <v>12</v>
      </c>
      <c r="E493" t="s">
        <v>73</v>
      </c>
      <c r="F493" t="s">
        <v>74</v>
      </c>
      <c r="G493" s="14">
        <v>69630</v>
      </c>
      <c r="H493" t="s">
        <v>53</v>
      </c>
      <c r="I493" t="s">
        <v>54</v>
      </c>
      <c r="J493" t="s">
        <v>632</v>
      </c>
      <c r="K493">
        <f t="shared" si="37"/>
        <v>1</v>
      </c>
      <c r="L493">
        <f t="shared" si="38"/>
        <v>0</v>
      </c>
      <c r="M493">
        <f t="shared" si="39"/>
        <v>1</v>
      </c>
    </row>
    <row r="494" spans="1:13">
      <c r="A494">
        <v>471</v>
      </c>
      <c r="B494" s="13">
        <v>42722</v>
      </c>
      <c r="C494">
        <f t="shared" si="35"/>
        <v>2016</v>
      </c>
      <c r="D494">
        <f t="shared" si="36"/>
        <v>12</v>
      </c>
      <c r="E494" t="s">
        <v>76</v>
      </c>
      <c r="F494" t="s">
        <v>77</v>
      </c>
      <c r="G494" s="14">
        <v>77936</v>
      </c>
      <c r="H494" t="s">
        <v>40</v>
      </c>
      <c r="I494" t="s">
        <v>100</v>
      </c>
      <c r="J494" t="s">
        <v>633</v>
      </c>
      <c r="K494">
        <f t="shared" si="37"/>
        <v>1</v>
      </c>
      <c r="L494">
        <f t="shared" si="38"/>
        <v>0</v>
      </c>
      <c r="M494">
        <f t="shared" si="39"/>
        <v>1</v>
      </c>
    </row>
    <row r="495" spans="1:13">
      <c r="A495">
        <v>698</v>
      </c>
      <c r="B495" s="13">
        <v>42724</v>
      </c>
      <c r="C495">
        <f t="shared" si="35"/>
        <v>2016</v>
      </c>
      <c r="D495">
        <f t="shared" si="36"/>
        <v>12</v>
      </c>
      <c r="E495" t="s">
        <v>63</v>
      </c>
      <c r="F495" t="s">
        <v>243</v>
      </c>
      <c r="G495" s="14">
        <v>70359</v>
      </c>
      <c r="H495" t="s">
        <v>40</v>
      </c>
      <c r="I495" t="s">
        <v>291</v>
      </c>
      <c r="J495" t="s">
        <v>634</v>
      </c>
      <c r="K495">
        <f t="shared" si="37"/>
        <v>1</v>
      </c>
      <c r="L495">
        <f t="shared" si="38"/>
        <v>0</v>
      </c>
      <c r="M495">
        <f t="shared" si="39"/>
        <v>1</v>
      </c>
    </row>
    <row r="496" spans="1:13">
      <c r="A496">
        <v>745</v>
      </c>
      <c r="B496" s="13">
        <v>42724</v>
      </c>
      <c r="C496">
        <f t="shared" si="35"/>
        <v>2016</v>
      </c>
      <c r="D496">
        <f t="shared" si="36"/>
        <v>12</v>
      </c>
      <c r="E496" t="s">
        <v>76</v>
      </c>
      <c r="F496" t="s">
        <v>129</v>
      </c>
      <c r="G496" s="14">
        <v>77377.100000000006</v>
      </c>
      <c r="H496" t="s">
        <v>60</v>
      </c>
      <c r="I496" t="s">
        <v>114</v>
      </c>
      <c r="J496" t="s">
        <v>635</v>
      </c>
      <c r="K496">
        <f t="shared" si="37"/>
        <v>1</v>
      </c>
      <c r="L496">
        <f t="shared" si="38"/>
        <v>0</v>
      </c>
      <c r="M496">
        <f t="shared" si="39"/>
        <v>1</v>
      </c>
    </row>
    <row r="497" spans="1:13">
      <c r="A497">
        <v>626</v>
      </c>
      <c r="B497" s="13">
        <v>42726</v>
      </c>
      <c r="C497">
        <f t="shared" si="35"/>
        <v>2016</v>
      </c>
      <c r="D497">
        <f t="shared" si="36"/>
        <v>12</v>
      </c>
      <c r="E497" t="s">
        <v>47</v>
      </c>
      <c r="F497" t="s">
        <v>272</v>
      </c>
      <c r="G497" s="14">
        <v>60513</v>
      </c>
      <c r="H497" t="s">
        <v>60</v>
      </c>
      <c r="I497" t="s">
        <v>188</v>
      </c>
      <c r="J497" t="s">
        <v>636</v>
      </c>
      <c r="K497">
        <f t="shared" si="37"/>
        <v>1</v>
      </c>
      <c r="L497">
        <f t="shared" si="38"/>
        <v>0</v>
      </c>
      <c r="M497">
        <f t="shared" si="39"/>
        <v>1</v>
      </c>
    </row>
    <row r="498" spans="1:13">
      <c r="A498">
        <v>851</v>
      </c>
      <c r="B498" s="13">
        <v>42727</v>
      </c>
      <c r="C498">
        <f t="shared" si="35"/>
        <v>2016</v>
      </c>
      <c r="D498">
        <f t="shared" si="36"/>
        <v>12</v>
      </c>
      <c r="E498" t="s">
        <v>47</v>
      </c>
      <c r="F498" t="s">
        <v>116</v>
      </c>
      <c r="G498" s="14">
        <v>74058</v>
      </c>
      <c r="H498" t="s">
        <v>49</v>
      </c>
      <c r="I498" t="s">
        <v>96</v>
      </c>
      <c r="J498" t="s">
        <v>637</v>
      </c>
      <c r="K498">
        <f t="shared" si="37"/>
        <v>1</v>
      </c>
      <c r="L498">
        <f t="shared" si="38"/>
        <v>0</v>
      </c>
      <c r="M498">
        <f t="shared" si="39"/>
        <v>1</v>
      </c>
    </row>
    <row r="499" spans="1:13">
      <c r="A499">
        <v>891</v>
      </c>
      <c r="B499" s="13">
        <v>42727</v>
      </c>
      <c r="C499">
        <f t="shared" si="35"/>
        <v>2016</v>
      </c>
      <c r="D499">
        <f t="shared" si="36"/>
        <v>12</v>
      </c>
      <c r="E499" t="s">
        <v>76</v>
      </c>
      <c r="F499" t="s">
        <v>129</v>
      </c>
      <c r="G499" s="14">
        <v>43283</v>
      </c>
      <c r="H499" t="s">
        <v>81</v>
      </c>
      <c r="I499" t="s">
        <v>190</v>
      </c>
      <c r="J499" t="s">
        <v>638</v>
      </c>
      <c r="K499">
        <f t="shared" si="37"/>
        <v>1</v>
      </c>
      <c r="L499">
        <f t="shared" si="38"/>
        <v>0</v>
      </c>
      <c r="M499">
        <f t="shared" si="39"/>
        <v>1</v>
      </c>
    </row>
    <row r="500" spans="1:13">
      <c r="A500">
        <v>218</v>
      </c>
      <c r="B500" s="13">
        <v>42728</v>
      </c>
      <c r="C500">
        <f t="shared" si="35"/>
        <v>2016</v>
      </c>
      <c r="D500">
        <f t="shared" si="36"/>
        <v>12</v>
      </c>
      <c r="E500" t="s">
        <v>76</v>
      </c>
      <c r="F500" t="s">
        <v>91</v>
      </c>
      <c r="G500" s="14">
        <v>57985</v>
      </c>
      <c r="H500" t="s">
        <v>49</v>
      </c>
      <c r="I500" t="s">
        <v>103</v>
      </c>
      <c r="J500" t="s">
        <v>639</v>
      </c>
      <c r="K500">
        <f t="shared" si="37"/>
        <v>1</v>
      </c>
      <c r="L500">
        <f t="shared" si="38"/>
        <v>0</v>
      </c>
      <c r="M500">
        <f t="shared" si="39"/>
        <v>1</v>
      </c>
    </row>
    <row r="501" spans="1:13">
      <c r="A501">
        <v>538</v>
      </c>
      <c r="B501" s="13">
        <v>42731</v>
      </c>
      <c r="C501">
        <f t="shared" si="35"/>
        <v>2016</v>
      </c>
      <c r="D501">
        <f t="shared" si="36"/>
        <v>12</v>
      </c>
      <c r="E501" t="s">
        <v>76</v>
      </c>
      <c r="F501" t="s">
        <v>138</v>
      </c>
      <c r="G501" s="14">
        <v>73563</v>
      </c>
      <c r="H501" t="s">
        <v>53</v>
      </c>
      <c r="I501" t="s">
        <v>54</v>
      </c>
      <c r="J501" t="s">
        <v>640</v>
      </c>
      <c r="K501">
        <f t="shared" si="37"/>
        <v>1</v>
      </c>
      <c r="L501">
        <f t="shared" si="38"/>
        <v>0</v>
      </c>
      <c r="M501">
        <f t="shared" si="39"/>
        <v>1</v>
      </c>
    </row>
    <row r="502" spans="1:13">
      <c r="A502">
        <v>59</v>
      </c>
      <c r="B502" s="13">
        <v>42739</v>
      </c>
      <c r="C502">
        <f t="shared" si="35"/>
        <v>2017</v>
      </c>
      <c r="D502">
        <f t="shared" si="36"/>
        <v>1</v>
      </c>
      <c r="E502" t="s">
        <v>73</v>
      </c>
      <c r="F502" t="s">
        <v>140</v>
      </c>
      <c r="G502" s="14">
        <v>42791</v>
      </c>
      <c r="H502" t="s">
        <v>49</v>
      </c>
      <c r="I502" t="s">
        <v>103</v>
      </c>
      <c r="J502" t="s">
        <v>641</v>
      </c>
      <c r="K502">
        <f t="shared" si="37"/>
        <v>1</v>
      </c>
      <c r="L502">
        <f t="shared" si="38"/>
        <v>0</v>
      </c>
      <c r="M502">
        <f t="shared" si="39"/>
        <v>1</v>
      </c>
    </row>
    <row r="503" spans="1:13">
      <c r="A503">
        <v>740</v>
      </c>
      <c r="B503" s="13">
        <v>42740</v>
      </c>
      <c r="C503">
        <f t="shared" si="35"/>
        <v>2017</v>
      </c>
      <c r="D503">
        <f t="shared" si="36"/>
        <v>1</v>
      </c>
      <c r="E503" t="s">
        <v>38</v>
      </c>
      <c r="F503" t="s">
        <v>227</v>
      </c>
      <c r="G503" s="14">
        <v>46902</v>
      </c>
      <c r="H503" t="s">
        <v>49</v>
      </c>
      <c r="I503" t="s">
        <v>50</v>
      </c>
      <c r="J503" t="s">
        <v>642</v>
      </c>
      <c r="K503">
        <f t="shared" si="37"/>
        <v>1</v>
      </c>
      <c r="L503">
        <f t="shared" si="38"/>
        <v>0</v>
      </c>
      <c r="M503">
        <f t="shared" si="39"/>
        <v>1</v>
      </c>
    </row>
    <row r="504" spans="1:13">
      <c r="A504">
        <v>942</v>
      </c>
      <c r="B504" s="13">
        <v>42741</v>
      </c>
      <c r="C504">
        <f t="shared" si="35"/>
        <v>2017</v>
      </c>
      <c r="D504">
        <f t="shared" si="36"/>
        <v>1</v>
      </c>
      <c r="E504" t="s">
        <v>76</v>
      </c>
      <c r="F504" t="s">
        <v>77</v>
      </c>
      <c r="G504" s="14">
        <v>40074</v>
      </c>
      <c r="H504" t="s">
        <v>40</v>
      </c>
      <c r="I504" t="s">
        <v>41</v>
      </c>
      <c r="J504" t="s">
        <v>643</v>
      </c>
      <c r="K504">
        <f t="shared" si="37"/>
        <v>1</v>
      </c>
      <c r="L504">
        <f t="shared" si="38"/>
        <v>0</v>
      </c>
      <c r="M504">
        <f t="shared" si="39"/>
        <v>1</v>
      </c>
    </row>
    <row r="505" spans="1:13">
      <c r="A505">
        <v>813</v>
      </c>
      <c r="B505" s="13">
        <v>42745</v>
      </c>
      <c r="C505">
        <f t="shared" si="35"/>
        <v>2017</v>
      </c>
      <c r="D505">
        <f t="shared" si="36"/>
        <v>1</v>
      </c>
      <c r="E505" t="s">
        <v>47</v>
      </c>
      <c r="F505" t="s">
        <v>136</v>
      </c>
      <c r="G505" s="14">
        <v>58840</v>
      </c>
      <c r="H505" t="s">
        <v>57</v>
      </c>
      <c r="I505" t="s">
        <v>106</v>
      </c>
      <c r="J505" t="s">
        <v>644</v>
      </c>
      <c r="K505">
        <f t="shared" si="37"/>
        <v>1</v>
      </c>
      <c r="L505">
        <f t="shared" si="38"/>
        <v>0</v>
      </c>
      <c r="M505">
        <f t="shared" si="39"/>
        <v>1</v>
      </c>
    </row>
    <row r="506" spans="1:13">
      <c r="A506">
        <v>427</v>
      </c>
      <c r="B506" s="13">
        <v>42749</v>
      </c>
      <c r="C506">
        <f t="shared" si="35"/>
        <v>2017</v>
      </c>
      <c r="D506">
        <f t="shared" si="36"/>
        <v>1</v>
      </c>
      <c r="E506" t="s">
        <v>47</v>
      </c>
      <c r="F506" t="s">
        <v>182</v>
      </c>
      <c r="G506" s="14">
        <v>57429</v>
      </c>
      <c r="H506" t="s">
        <v>53</v>
      </c>
      <c r="I506" t="s">
        <v>78</v>
      </c>
      <c r="J506" t="s">
        <v>645</v>
      </c>
      <c r="K506">
        <f t="shared" si="37"/>
        <v>1</v>
      </c>
      <c r="L506">
        <f t="shared" si="38"/>
        <v>0</v>
      </c>
      <c r="M506">
        <f t="shared" si="39"/>
        <v>1</v>
      </c>
    </row>
    <row r="507" spans="1:13">
      <c r="A507">
        <v>643</v>
      </c>
      <c r="B507" s="13">
        <v>42751</v>
      </c>
      <c r="C507">
        <f t="shared" si="35"/>
        <v>2017</v>
      </c>
      <c r="D507">
        <f t="shared" si="36"/>
        <v>1</v>
      </c>
      <c r="E507" t="s">
        <v>38</v>
      </c>
      <c r="F507" t="s">
        <v>126</v>
      </c>
      <c r="G507" s="14">
        <v>73668</v>
      </c>
      <c r="H507" t="s">
        <v>60</v>
      </c>
      <c r="I507" t="s">
        <v>61</v>
      </c>
      <c r="J507" t="s">
        <v>646</v>
      </c>
      <c r="K507">
        <f t="shared" si="37"/>
        <v>1</v>
      </c>
      <c r="L507">
        <f t="shared" si="38"/>
        <v>0</v>
      </c>
      <c r="M507">
        <f t="shared" si="39"/>
        <v>1</v>
      </c>
    </row>
    <row r="508" spans="1:13">
      <c r="A508">
        <v>412</v>
      </c>
      <c r="B508" s="13">
        <v>42755</v>
      </c>
      <c r="C508">
        <f t="shared" si="35"/>
        <v>2017</v>
      </c>
      <c r="D508">
        <f t="shared" si="36"/>
        <v>1</v>
      </c>
      <c r="E508" t="s">
        <v>38</v>
      </c>
      <c r="F508" t="s">
        <v>39</v>
      </c>
      <c r="G508" s="14">
        <v>64320</v>
      </c>
      <c r="H508" t="s">
        <v>81</v>
      </c>
      <c r="I508" t="s">
        <v>190</v>
      </c>
      <c r="J508" t="s">
        <v>647</v>
      </c>
      <c r="K508">
        <f t="shared" si="37"/>
        <v>1</v>
      </c>
      <c r="L508">
        <f t="shared" si="38"/>
        <v>0</v>
      </c>
      <c r="M508">
        <f t="shared" si="39"/>
        <v>1</v>
      </c>
    </row>
    <row r="509" spans="1:13">
      <c r="A509">
        <v>62</v>
      </c>
      <c r="B509" s="13">
        <v>42760</v>
      </c>
      <c r="C509">
        <f t="shared" si="35"/>
        <v>2017</v>
      </c>
      <c r="D509">
        <f t="shared" si="36"/>
        <v>1</v>
      </c>
      <c r="E509" t="s">
        <v>76</v>
      </c>
      <c r="F509" t="s">
        <v>294</v>
      </c>
      <c r="G509" s="14">
        <v>60581</v>
      </c>
      <c r="H509" t="s">
        <v>40</v>
      </c>
      <c r="I509" t="s">
        <v>45</v>
      </c>
      <c r="J509" t="s">
        <v>648</v>
      </c>
      <c r="K509">
        <f t="shared" si="37"/>
        <v>1</v>
      </c>
      <c r="L509">
        <f t="shared" si="38"/>
        <v>0</v>
      </c>
      <c r="M509">
        <f t="shared" si="39"/>
        <v>1</v>
      </c>
    </row>
    <row r="510" spans="1:13">
      <c r="A510">
        <v>490</v>
      </c>
      <c r="B510" s="13">
        <v>42764</v>
      </c>
      <c r="C510">
        <f t="shared" si="35"/>
        <v>2017</v>
      </c>
      <c r="D510">
        <f t="shared" si="36"/>
        <v>1</v>
      </c>
      <c r="E510" t="s">
        <v>76</v>
      </c>
      <c r="F510" t="s">
        <v>129</v>
      </c>
      <c r="G510" s="14">
        <v>55445</v>
      </c>
      <c r="H510" t="s">
        <v>40</v>
      </c>
      <c r="I510" t="s">
        <v>85</v>
      </c>
      <c r="J510" t="s">
        <v>649</v>
      </c>
      <c r="K510">
        <f t="shared" si="37"/>
        <v>1</v>
      </c>
      <c r="L510">
        <f t="shared" si="38"/>
        <v>0</v>
      </c>
      <c r="M510">
        <f t="shared" si="39"/>
        <v>1</v>
      </c>
    </row>
    <row r="511" spans="1:13">
      <c r="A511">
        <v>780</v>
      </c>
      <c r="B511" s="13">
        <v>42766</v>
      </c>
      <c r="C511">
        <f t="shared" si="35"/>
        <v>2017</v>
      </c>
      <c r="D511">
        <f t="shared" si="36"/>
        <v>1</v>
      </c>
      <c r="E511" t="s">
        <v>43</v>
      </c>
      <c r="F511" t="s">
        <v>134</v>
      </c>
      <c r="G511" s="14">
        <v>51232</v>
      </c>
      <c r="H511" t="s">
        <v>53</v>
      </c>
      <c r="I511" t="s">
        <v>92</v>
      </c>
      <c r="J511" t="s">
        <v>650</v>
      </c>
      <c r="K511">
        <f t="shared" si="37"/>
        <v>1</v>
      </c>
      <c r="L511">
        <f t="shared" si="38"/>
        <v>0</v>
      </c>
      <c r="M511">
        <f t="shared" si="39"/>
        <v>1</v>
      </c>
    </row>
    <row r="512" spans="1:13">
      <c r="A512">
        <v>873</v>
      </c>
      <c r="B512" s="13">
        <v>42766</v>
      </c>
      <c r="C512">
        <f t="shared" si="35"/>
        <v>2017</v>
      </c>
      <c r="D512">
        <f t="shared" si="36"/>
        <v>1</v>
      </c>
      <c r="E512" t="s">
        <v>63</v>
      </c>
      <c r="F512" t="s">
        <v>124</v>
      </c>
      <c r="G512" s="14">
        <v>79961</v>
      </c>
      <c r="H512" t="s">
        <v>81</v>
      </c>
      <c r="I512" t="s">
        <v>153</v>
      </c>
      <c r="J512" t="s">
        <v>651</v>
      </c>
      <c r="K512">
        <f t="shared" si="37"/>
        <v>1</v>
      </c>
      <c r="L512">
        <f t="shared" si="38"/>
        <v>0</v>
      </c>
      <c r="M512">
        <f t="shared" si="39"/>
        <v>1</v>
      </c>
    </row>
    <row r="513" spans="1:13">
      <c r="A513">
        <v>803</v>
      </c>
      <c r="B513" s="13">
        <v>42782</v>
      </c>
      <c r="C513">
        <f t="shared" si="35"/>
        <v>2017</v>
      </c>
      <c r="D513">
        <f t="shared" si="36"/>
        <v>2</v>
      </c>
      <c r="E513" t="s">
        <v>94</v>
      </c>
      <c r="F513" t="s">
        <v>652</v>
      </c>
      <c r="G513" s="14">
        <v>47916</v>
      </c>
      <c r="H513" t="s">
        <v>81</v>
      </c>
      <c r="I513" t="s">
        <v>108</v>
      </c>
      <c r="J513" t="s">
        <v>653</v>
      </c>
      <c r="K513">
        <f t="shared" si="37"/>
        <v>1</v>
      </c>
      <c r="L513">
        <f t="shared" si="38"/>
        <v>0</v>
      </c>
      <c r="M513">
        <f t="shared" si="39"/>
        <v>1</v>
      </c>
    </row>
    <row r="514" spans="1:13">
      <c r="A514">
        <v>511</v>
      </c>
      <c r="B514" s="13">
        <v>42785</v>
      </c>
      <c r="C514">
        <f t="shared" ref="C514:C577" si="40">YEAR(B514)</f>
        <v>2017</v>
      </c>
      <c r="D514">
        <f t="shared" ref="D514:D577" si="41">MONTH(B514)</f>
        <v>2</v>
      </c>
      <c r="E514" t="s">
        <v>43</v>
      </c>
      <c r="F514" t="s">
        <v>87</v>
      </c>
      <c r="G514" s="14">
        <v>66295</v>
      </c>
      <c r="H514" t="s">
        <v>40</v>
      </c>
      <c r="I514" t="s">
        <v>98</v>
      </c>
      <c r="J514" t="s">
        <v>654</v>
      </c>
      <c r="K514">
        <f t="shared" ref="K514:K577" si="42">IF(AND(OR(sel_ano="Todos",C514=sel_ano),OR(sel_pais="Todos",H514=sel_pais),OR(sel_marca="Todas",E514=sel_marca)),1,0)</f>
        <v>1</v>
      </c>
      <c r="L514">
        <f t="shared" ref="L514:L577" si="43">IF(sel_ano="Todos",0,IF(AND(C514=sel_ano-1,OR(sel_pais="Todos",H514=sel_pais),OR(sel_marca="Todas",E514=sel_marca)),1,0))</f>
        <v>0</v>
      </c>
      <c r="M514">
        <f t="shared" ref="M514:M577" si="44">IF(AND(OR(sel_pais="Todos",H514=sel_pais),OR(sel_marca="Todas",E514=sel_marca)),1,0)</f>
        <v>1</v>
      </c>
    </row>
    <row r="515" spans="1:13">
      <c r="A515">
        <v>799</v>
      </c>
      <c r="B515" s="13">
        <v>42789</v>
      </c>
      <c r="C515">
        <f t="shared" si="40"/>
        <v>2017</v>
      </c>
      <c r="D515">
        <f t="shared" si="41"/>
        <v>2</v>
      </c>
      <c r="E515" t="s">
        <v>73</v>
      </c>
      <c r="F515" t="s">
        <v>119</v>
      </c>
      <c r="G515" s="14">
        <v>53137</v>
      </c>
      <c r="H515" t="s">
        <v>57</v>
      </c>
      <c r="I515" t="s">
        <v>58</v>
      </c>
      <c r="J515" t="s">
        <v>655</v>
      </c>
      <c r="K515">
        <f t="shared" si="42"/>
        <v>1</v>
      </c>
      <c r="L515">
        <f t="shared" si="43"/>
        <v>0</v>
      </c>
      <c r="M515">
        <f t="shared" si="44"/>
        <v>1</v>
      </c>
    </row>
    <row r="516" spans="1:13">
      <c r="A516">
        <v>378</v>
      </c>
      <c r="B516" s="13">
        <v>42790</v>
      </c>
      <c r="C516">
        <f t="shared" si="40"/>
        <v>2017</v>
      </c>
      <c r="D516">
        <f t="shared" si="41"/>
        <v>2</v>
      </c>
      <c r="E516" t="s">
        <v>38</v>
      </c>
      <c r="F516" t="s">
        <v>56</v>
      </c>
      <c r="G516" s="14">
        <v>53160</v>
      </c>
      <c r="H516" t="s">
        <v>60</v>
      </c>
      <c r="I516" t="s">
        <v>114</v>
      </c>
      <c r="J516" t="s">
        <v>656</v>
      </c>
      <c r="K516">
        <f t="shared" si="42"/>
        <v>1</v>
      </c>
      <c r="L516">
        <f t="shared" si="43"/>
        <v>0</v>
      </c>
      <c r="M516">
        <f t="shared" si="44"/>
        <v>1</v>
      </c>
    </row>
    <row r="517" spans="1:13">
      <c r="A517">
        <v>352</v>
      </c>
      <c r="B517" s="13">
        <v>42793</v>
      </c>
      <c r="C517">
        <f t="shared" si="40"/>
        <v>2017</v>
      </c>
      <c r="D517">
        <f t="shared" si="41"/>
        <v>2</v>
      </c>
      <c r="E517" t="s">
        <v>76</v>
      </c>
      <c r="F517" t="s">
        <v>77</v>
      </c>
      <c r="G517" s="14">
        <v>55563</v>
      </c>
      <c r="H517" t="s">
        <v>40</v>
      </c>
      <c r="I517" t="s">
        <v>144</v>
      </c>
      <c r="J517" t="s">
        <v>657</v>
      </c>
      <c r="K517">
        <f t="shared" si="42"/>
        <v>1</v>
      </c>
      <c r="L517">
        <f t="shared" si="43"/>
        <v>0</v>
      </c>
      <c r="M517">
        <f t="shared" si="44"/>
        <v>1</v>
      </c>
    </row>
    <row r="518" spans="1:13">
      <c r="A518">
        <v>345</v>
      </c>
      <c r="B518" s="13">
        <v>42798</v>
      </c>
      <c r="C518">
        <f t="shared" si="40"/>
        <v>2017</v>
      </c>
      <c r="D518">
        <f t="shared" si="41"/>
        <v>3</v>
      </c>
      <c r="E518" t="s">
        <v>76</v>
      </c>
      <c r="F518" t="s">
        <v>91</v>
      </c>
      <c r="G518" s="14">
        <v>58987</v>
      </c>
      <c r="H518" t="s">
        <v>60</v>
      </c>
      <c r="I518" t="s">
        <v>188</v>
      </c>
      <c r="J518" t="s">
        <v>658</v>
      </c>
      <c r="K518">
        <f t="shared" si="42"/>
        <v>1</v>
      </c>
      <c r="L518">
        <f t="shared" si="43"/>
        <v>0</v>
      </c>
      <c r="M518">
        <f t="shared" si="44"/>
        <v>1</v>
      </c>
    </row>
    <row r="519" spans="1:13">
      <c r="A519">
        <v>115</v>
      </c>
      <c r="B519" s="13">
        <v>42800</v>
      </c>
      <c r="C519">
        <f t="shared" si="40"/>
        <v>2017</v>
      </c>
      <c r="D519">
        <f t="shared" si="41"/>
        <v>3</v>
      </c>
      <c r="E519" t="s">
        <v>76</v>
      </c>
      <c r="F519" t="s">
        <v>77</v>
      </c>
      <c r="G519" s="14">
        <v>52341</v>
      </c>
      <c r="H519" t="s">
        <v>40</v>
      </c>
      <c r="I519" t="s">
        <v>100</v>
      </c>
      <c r="J519" t="s">
        <v>659</v>
      </c>
      <c r="K519">
        <f t="shared" si="42"/>
        <v>1</v>
      </c>
      <c r="L519">
        <f t="shared" si="43"/>
        <v>0</v>
      </c>
      <c r="M519">
        <f t="shared" si="44"/>
        <v>1</v>
      </c>
    </row>
    <row r="520" spans="1:13">
      <c r="A520">
        <v>705</v>
      </c>
      <c r="B520" s="13">
        <v>42801</v>
      </c>
      <c r="C520">
        <f t="shared" si="40"/>
        <v>2017</v>
      </c>
      <c r="D520">
        <f t="shared" si="41"/>
        <v>3</v>
      </c>
      <c r="E520" t="s">
        <v>76</v>
      </c>
      <c r="F520" t="s">
        <v>91</v>
      </c>
      <c r="G520" s="14">
        <v>45617</v>
      </c>
      <c r="H520" t="s">
        <v>40</v>
      </c>
      <c r="I520" t="s">
        <v>100</v>
      </c>
      <c r="J520" t="s">
        <v>660</v>
      </c>
      <c r="K520">
        <f t="shared" si="42"/>
        <v>1</v>
      </c>
      <c r="L520">
        <f t="shared" si="43"/>
        <v>0</v>
      </c>
      <c r="M520">
        <f t="shared" si="44"/>
        <v>1</v>
      </c>
    </row>
    <row r="521" spans="1:13">
      <c r="A521">
        <v>787</v>
      </c>
      <c r="B521" s="13">
        <v>42803</v>
      </c>
      <c r="C521">
        <f t="shared" si="40"/>
        <v>2017</v>
      </c>
      <c r="D521">
        <f t="shared" si="41"/>
        <v>3</v>
      </c>
      <c r="E521" t="s">
        <v>47</v>
      </c>
      <c r="F521" t="s">
        <v>132</v>
      </c>
      <c r="G521" s="14">
        <v>55799</v>
      </c>
      <c r="H521" t="s">
        <v>49</v>
      </c>
      <c r="I521" t="s">
        <v>96</v>
      </c>
      <c r="J521" t="s">
        <v>661</v>
      </c>
      <c r="K521">
        <f t="shared" si="42"/>
        <v>1</v>
      </c>
      <c r="L521">
        <f t="shared" si="43"/>
        <v>0</v>
      </c>
      <c r="M521">
        <f t="shared" si="44"/>
        <v>1</v>
      </c>
    </row>
    <row r="522" spans="1:13">
      <c r="A522">
        <v>57</v>
      </c>
      <c r="B522" s="13">
        <v>42804</v>
      </c>
      <c r="C522">
        <f t="shared" si="40"/>
        <v>2017</v>
      </c>
      <c r="D522">
        <f t="shared" si="41"/>
        <v>3</v>
      </c>
      <c r="E522" t="s">
        <v>94</v>
      </c>
      <c r="F522" t="s">
        <v>662</v>
      </c>
      <c r="G522" s="14">
        <v>48717</v>
      </c>
      <c r="H522" t="s">
        <v>57</v>
      </c>
      <c r="I522" t="s">
        <v>231</v>
      </c>
      <c r="J522" t="s">
        <v>663</v>
      </c>
      <c r="K522">
        <f t="shared" si="42"/>
        <v>1</v>
      </c>
      <c r="L522">
        <f t="shared" si="43"/>
        <v>0</v>
      </c>
      <c r="M522">
        <f t="shared" si="44"/>
        <v>1</v>
      </c>
    </row>
    <row r="523" spans="1:13">
      <c r="A523">
        <v>270</v>
      </c>
      <c r="B523" s="13">
        <v>42817</v>
      </c>
      <c r="C523">
        <f t="shared" si="40"/>
        <v>2017</v>
      </c>
      <c r="D523">
        <f t="shared" si="41"/>
        <v>3</v>
      </c>
      <c r="E523" t="s">
        <v>76</v>
      </c>
      <c r="F523" t="s">
        <v>129</v>
      </c>
      <c r="G523" s="14">
        <v>70277</v>
      </c>
      <c r="H523" t="s">
        <v>53</v>
      </c>
      <c r="I523" t="s">
        <v>120</v>
      </c>
      <c r="J523" t="s">
        <v>664</v>
      </c>
      <c r="K523">
        <f t="shared" si="42"/>
        <v>1</v>
      </c>
      <c r="L523">
        <f t="shared" si="43"/>
        <v>0</v>
      </c>
      <c r="M523">
        <f t="shared" si="44"/>
        <v>1</v>
      </c>
    </row>
    <row r="524" spans="1:13">
      <c r="A524">
        <v>46</v>
      </c>
      <c r="B524" s="13">
        <v>42818</v>
      </c>
      <c r="C524">
        <f t="shared" si="40"/>
        <v>2017</v>
      </c>
      <c r="D524">
        <f t="shared" si="41"/>
        <v>3</v>
      </c>
      <c r="E524" t="s">
        <v>63</v>
      </c>
      <c r="F524" t="s">
        <v>64</v>
      </c>
      <c r="G524" s="14">
        <v>49930</v>
      </c>
      <c r="H524" t="s">
        <v>57</v>
      </c>
      <c r="I524" t="s">
        <v>106</v>
      </c>
      <c r="J524" t="s">
        <v>665</v>
      </c>
      <c r="K524">
        <f t="shared" si="42"/>
        <v>1</v>
      </c>
      <c r="L524">
        <f t="shared" si="43"/>
        <v>0</v>
      </c>
      <c r="M524">
        <f t="shared" si="44"/>
        <v>1</v>
      </c>
    </row>
    <row r="525" spans="1:13">
      <c r="A525">
        <v>411</v>
      </c>
      <c r="B525" s="13">
        <v>42820</v>
      </c>
      <c r="C525">
        <f t="shared" si="40"/>
        <v>2017</v>
      </c>
      <c r="D525">
        <f t="shared" si="41"/>
        <v>3</v>
      </c>
      <c r="E525" t="s">
        <v>38</v>
      </c>
      <c r="F525" t="s">
        <v>227</v>
      </c>
      <c r="G525" s="14">
        <v>72864</v>
      </c>
      <c r="H525" t="s">
        <v>81</v>
      </c>
      <c r="I525" t="s">
        <v>153</v>
      </c>
      <c r="J525" t="s">
        <v>666</v>
      </c>
      <c r="K525">
        <f t="shared" si="42"/>
        <v>1</v>
      </c>
      <c r="L525">
        <f t="shared" si="43"/>
        <v>0</v>
      </c>
      <c r="M525">
        <f t="shared" si="44"/>
        <v>1</v>
      </c>
    </row>
    <row r="526" spans="1:13">
      <c r="A526">
        <v>766</v>
      </c>
      <c r="B526" s="13">
        <v>42821</v>
      </c>
      <c r="C526">
        <f t="shared" si="40"/>
        <v>2017</v>
      </c>
      <c r="D526">
        <f t="shared" si="41"/>
        <v>3</v>
      </c>
      <c r="E526" t="s">
        <v>47</v>
      </c>
      <c r="F526" t="s">
        <v>155</v>
      </c>
      <c r="G526" s="14">
        <v>50012</v>
      </c>
      <c r="H526" t="s">
        <v>60</v>
      </c>
      <c r="I526" t="s">
        <v>71</v>
      </c>
      <c r="J526" t="s">
        <v>667</v>
      </c>
      <c r="K526">
        <f t="shared" si="42"/>
        <v>1</v>
      </c>
      <c r="L526">
        <f t="shared" si="43"/>
        <v>0</v>
      </c>
      <c r="M526">
        <f t="shared" si="44"/>
        <v>1</v>
      </c>
    </row>
    <row r="527" spans="1:13">
      <c r="A527">
        <v>496</v>
      </c>
      <c r="B527" s="13">
        <v>42824</v>
      </c>
      <c r="C527">
        <f t="shared" si="40"/>
        <v>2017</v>
      </c>
      <c r="D527">
        <f t="shared" si="41"/>
        <v>3</v>
      </c>
      <c r="E527" t="s">
        <v>73</v>
      </c>
      <c r="F527" t="s">
        <v>74</v>
      </c>
      <c r="G527" s="14">
        <v>63475</v>
      </c>
      <c r="H527" t="s">
        <v>53</v>
      </c>
      <c r="I527" t="s">
        <v>120</v>
      </c>
      <c r="J527" t="s">
        <v>668</v>
      </c>
      <c r="K527">
        <f t="shared" si="42"/>
        <v>1</v>
      </c>
      <c r="L527">
        <f t="shared" si="43"/>
        <v>0</v>
      </c>
      <c r="M527">
        <f t="shared" si="44"/>
        <v>1</v>
      </c>
    </row>
    <row r="528" spans="1:13">
      <c r="A528">
        <v>15</v>
      </c>
      <c r="B528" s="13">
        <v>42828</v>
      </c>
      <c r="C528">
        <f t="shared" si="40"/>
        <v>2017</v>
      </c>
      <c r="D528">
        <f t="shared" si="41"/>
        <v>4</v>
      </c>
      <c r="E528" t="s">
        <v>38</v>
      </c>
      <c r="F528" t="s">
        <v>165</v>
      </c>
      <c r="G528" s="14">
        <v>49806</v>
      </c>
      <c r="H528" t="s">
        <v>57</v>
      </c>
      <c r="I528" t="s">
        <v>58</v>
      </c>
      <c r="J528" t="s">
        <v>669</v>
      </c>
      <c r="K528">
        <f t="shared" si="42"/>
        <v>1</v>
      </c>
      <c r="L528">
        <f t="shared" si="43"/>
        <v>0</v>
      </c>
      <c r="M528">
        <f t="shared" si="44"/>
        <v>1</v>
      </c>
    </row>
    <row r="529" spans="1:13">
      <c r="A529">
        <v>434</v>
      </c>
      <c r="B529" s="13">
        <v>42834</v>
      </c>
      <c r="C529">
        <f t="shared" si="40"/>
        <v>2017</v>
      </c>
      <c r="D529">
        <f t="shared" si="41"/>
        <v>4</v>
      </c>
      <c r="E529" t="s">
        <v>38</v>
      </c>
      <c r="F529" t="s">
        <v>80</v>
      </c>
      <c r="G529" s="14">
        <v>70691</v>
      </c>
      <c r="H529" t="s">
        <v>40</v>
      </c>
      <c r="I529" t="s">
        <v>158</v>
      </c>
      <c r="J529" t="s">
        <v>670</v>
      </c>
      <c r="K529">
        <f t="shared" si="42"/>
        <v>1</v>
      </c>
      <c r="L529">
        <f t="shared" si="43"/>
        <v>0</v>
      </c>
      <c r="M529">
        <f t="shared" si="44"/>
        <v>1</v>
      </c>
    </row>
    <row r="530" spans="1:13">
      <c r="A530">
        <v>954</v>
      </c>
      <c r="B530" s="13">
        <v>42842</v>
      </c>
      <c r="C530">
        <f t="shared" si="40"/>
        <v>2017</v>
      </c>
      <c r="D530">
        <f t="shared" si="41"/>
        <v>4</v>
      </c>
      <c r="E530" t="s">
        <v>73</v>
      </c>
      <c r="F530" t="s">
        <v>102</v>
      </c>
      <c r="G530" s="14">
        <v>56597</v>
      </c>
      <c r="H530" t="s">
        <v>60</v>
      </c>
      <c r="I530" t="s">
        <v>188</v>
      </c>
      <c r="J530" t="s">
        <v>671</v>
      </c>
      <c r="K530">
        <f t="shared" si="42"/>
        <v>1</v>
      </c>
      <c r="L530">
        <f t="shared" si="43"/>
        <v>0</v>
      </c>
      <c r="M530">
        <f t="shared" si="44"/>
        <v>1</v>
      </c>
    </row>
    <row r="531" spans="1:13">
      <c r="A531">
        <v>335</v>
      </c>
      <c r="B531" s="13">
        <v>42851</v>
      </c>
      <c r="C531">
        <f t="shared" si="40"/>
        <v>2017</v>
      </c>
      <c r="D531">
        <f t="shared" si="41"/>
        <v>4</v>
      </c>
      <c r="E531" t="s">
        <v>47</v>
      </c>
      <c r="F531" t="s">
        <v>136</v>
      </c>
      <c r="G531" s="14">
        <v>78478</v>
      </c>
      <c r="H531" t="s">
        <v>57</v>
      </c>
      <c r="I531" t="s">
        <v>58</v>
      </c>
      <c r="J531" t="s">
        <v>672</v>
      </c>
      <c r="K531">
        <f t="shared" si="42"/>
        <v>1</v>
      </c>
      <c r="L531">
        <f t="shared" si="43"/>
        <v>0</v>
      </c>
      <c r="M531">
        <f t="shared" si="44"/>
        <v>1</v>
      </c>
    </row>
    <row r="532" spans="1:13">
      <c r="A532">
        <v>261</v>
      </c>
      <c r="B532" s="13">
        <v>42852</v>
      </c>
      <c r="C532">
        <f t="shared" si="40"/>
        <v>2017</v>
      </c>
      <c r="D532">
        <f t="shared" si="41"/>
        <v>4</v>
      </c>
      <c r="E532" t="s">
        <v>63</v>
      </c>
      <c r="F532" t="s">
        <v>425</v>
      </c>
      <c r="G532" s="14">
        <v>73964</v>
      </c>
      <c r="H532" t="s">
        <v>40</v>
      </c>
      <c r="I532" t="s">
        <v>45</v>
      </c>
      <c r="J532" t="s">
        <v>673</v>
      </c>
      <c r="K532">
        <f t="shared" si="42"/>
        <v>1</v>
      </c>
      <c r="L532">
        <f t="shared" si="43"/>
        <v>0</v>
      </c>
      <c r="M532">
        <f t="shared" si="44"/>
        <v>1</v>
      </c>
    </row>
    <row r="533" spans="1:13">
      <c r="A533">
        <v>52</v>
      </c>
      <c r="B533" s="13">
        <v>42853</v>
      </c>
      <c r="C533">
        <f t="shared" si="40"/>
        <v>2017</v>
      </c>
      <c r="D533">
        <f t="shared" si="41"/>
        <v>4</v>
      </c>
      <c r="E533" t="s">
        <v>43</v>
      </c>
      <c r="F533" t="s">
        <v>251</v>
      </c>
      <c r="G533" s="14">
        <v>50784</v>
      </c>
      <c r="H533" t="s">
        <v>60</v>
      </c>
      <c r="I533" t="s">
        <v>199</v>
      </c>
      <c r="J533" t="s">
        <v>674</v>
      </c>
      <c r="K533">
        <f t="shared" si="42"/>
        <v>1</v>
      </c>
      <c r="L533">
        <f t="shared" si="43"/>
        <v>0</v>
      </c>
      <c r="M533">
        <f t="shared" si="44"/>
        <v>1</v>
      </c>
    </row>
    <row r="534" spans="1:13">
      <c r="A534">
        <v>602</v>
      </c>
      <c r="B534" s="13">
        <v>42854</v>
      </c>
      <c r="C534">
        <f t="shared" si="40"/>
        <v>2017</v>
      </c>
      <c r="D534">
        <f t="shared" si="41"/>
        <v>4</v>
      </c>
      <c r="E534" t="s">
        <v>38</v>
      </c>
      <c r="F534" t="s">
        <v>165</v>
      </c>
      <c r="G534" s="14">
        <v>42722</v>
      </c>
      <c r="H534" t="s">
        <v>57</v>
      </c>
      <c r="I534" t="s">
        <v>106</v>
      </c>
      <c r="J534" t="s">
        <v>675</v>
      </c>
      <c r="K534">
        <f t="shared" si="42"/>
        <v>1</v>
      </c>
      <c r="L534">
        <f t="shared" si="43"/>
        <v>0</v>
      </c>
      <c r="M534">
        <f t="shared" si="44"/>
        <v>1</v>
      </c>
    </row>
    <row r="535" spans="1:13">
      <c r="A535">
        <v>460</v>
      </c>
      <c r="B535" s="13">
        <v>42863</v>
      </c>
      <c r="C535">
        <f t="shared" si="40"/>
        <v>2017</v>
      </c>
      <c r="D535">
        <f t="shared" si="41"/>
        <v>5</v>
      </c>
      <c r="E535" t="s">
        <v>38</v>
      </c>
      <c r="F535" t="s">
        <v>227</v>
      </c>
      <c r="G535" s="14">
        <v>62370</v>
      </c>
      <c r="H535" t="s">
        <v>53</v>
      </c>
      <c r="I535" t="s">
        <v>78</v>
      </c>
      <c r="J535" t="s">
        <v>676</v>
      </c>
      <c r="K535">
        <f t="shared" si="42"/>
        <v>1</v>
      </c>
      <c r="L535">
        <f t="shared" si="43"/>
        <v>0</v>
      </c>
      <c r="M535">
        <f t="shared" si="44"/>
        <v>1</v>
      </c>
    </row>
    <row r="536" spans="1:13">
      <c r="A536">
        <v>63</v>
      </c>
      <c r="B536" s="13">
        <v>42867</v>
      </c>
      <c r="C536">
        <f t="shared" si="40"/>
        <v>2017</v>
      </c>
      <c r="D536">
        <f t="shared" si="41"/>
        <v>5</v>
      </c>
      <c r="E536" t="s">
        <v>47</v>
      </c>
      <c r="F536" t="s">
        <v>116</v>
      </c>
      <c r="G536" s="14">
        <v>46673</v>
      </c>
      <c r="H536" t="s">
        <v>57</v>
      </c>
      <c r="I536" t="s">
        <v>65</v>
      </c>
      <c r="J536" t="s">
        <v>677</v>
      </c>
      <c r="K536">
        <f t="shared" si="42"/>
        <v>1</v>
      </c>
      <c r="L536">
        <f t="shared" si="43"/>
        <v>0</v>
      </c>
      <c r="M536">
        <f t="shared" si="44"/>
        <v>1</v>
      </c>
    </row>
    <row r="537" spans="1:13">
      <c r="A537">
        <v>757</v>
      </c>
      <c r="B537" s="13">
        <v>42867</v>
      </c>
      <c r="C537">
        <f t="shared" si="40"/>
        <v>2017</v>
      </c>
      <c r="D537">
        <f t="shared" si="41"/>
        <v>5</v>
      </c>
      <c r="E537" t="s">
        <v>47</v>
      </c>
      <c r="F537" t="s">
        <v>52</v>
      </c>
      <c r="G537" s="14">
        <v>64214</v>
      </c>
      <c r="H537" t="s">
        <v>53</v>
      </c>
      <c r="I537" t="s">
        <v>78</v>
      </c>
      <c r="J537" t="s">
        <v>678</v>
      </c>
      <c r="K537">
        <f t="shared" si="42"/>
        <v>1</v>
      </c>
      <c r="L537">
        <f t="shared" si="43"/>
        <v>0</v>
      </c>
      <c r="M537">
        <f t="shared" si="44"/>
        <v>1</v>
      </c>
    </row>
    <row r="538" spans="1:13">
      <c r="A538">
        <v>130</v>
      </c>
      <c r="B538" s="13">
        <v>42868</v>
      </c>
      <c r="C538">
        <f t="shared" si="40"/>
        <v>2017</v>
      </c>
      <c r="D538">
        <f t="shared" si="41"/>
        <v>5</v>
      </c>
      <c r="E538" t="s">
        <v>76</v>
      </c>
      <c r="F538" t="s">
        <v>91</v>
      </c>
      <c r="G538" s="14">
        <v>61181</v>
      </c>
      <c r="H538" t="s">
        <v>40</v>
      </c>
      <c r="I538" t="s">
        <v>45</v>
      </c>
      <c r="J538" t="s">
        <v>679</v>
      </c>
      <c r="K538">
        <f t="shared" si="42"/>
        <v>1</v>
      </c>
      <c r="L538">
        <f t="shared" si="43"/>
        <v>0</v>
      </c>
      <c r="M538">
        <f t="shared" si="44"/>
        <v>1</v>
      </c>
    </row>
    <row r="539" spans="1:13">
      <c r="A539">
        <v>122</v>
      </c>
      <c r="B539" s="13">
        <v>42869</v>
      </c>
      <c r="C539">
        <f t="shared" si="40"/>
        <v>2017</v>
      </c>
      <c r="D539">
        <f t="shared" si="41"/>
        <v>5</v>
      </c>
      <c r="E539" t="s">
        <v>73</v>
      </c>
      <c r="F539" t="s">
        <v>74</v>
      </c>
      <c r="G539" s="14">
        <v>77288</v>
      </c>
      <c r="H539" t="s">
        <v>81</v>
      </c>
      <c r="I539" t="s">
        <v>190</v>
      </c>
      <c r="J539" t="s">
        <v>680</v>
      </c>
      <c r="K539">
        <f t="shared" si="42"/>
        <v>1</v>
      </c>
      <c r="L539">
        <f t="shared" si="43"/>
        <v>0</v>
      </c>
      <c r="M539">
        <f t="shared" si="44"/>
        <v>1</v>
      </c>
    </row>
    <row r="540" spans="1:13">
      <c r="A540">
        <v>146</v>
      </c>
      <c r="B540" s="13">
        <v>42871</v>
      </c>
      <c r="C540">
        <f t="shared" si="40"/>
        <v>2017</v>
      </c>
      <c r="D540">
        <f t="shared" si="41"/>
        <v>5</v>
      </c>
      <c r="E540" t="s">
        <v>63</v>
      </c>
      <c r="F540" t="s">
        <v>248</v>
      </c>
      <c r="G540" s="14">
        <v>40882</v>
      </c>
      <c r="H540" t="s">
        <v>40</v>
      </c>
      <c r="I540" t="s">
        <v>180</v>
      </c>
      <c r="J540" t="s">
        <v>681</v>
      </c>
      <c r="K540">
        <f t="shared" si="42"/>
        <v>1</v>
      </c>
      <c r="L540">
        <f t="shared" si="43"/>
        <v>0</v>
      </c>
      <c r="M540">
        <f t="shared" si="44"/>
        <v>1</v>
      </c>
    </row>
    <row r="541" spans="1:13">
      <c r="A541">
        <v>148</v>
      </c>
      <c r="B541" s="13">
        <v>42875</v>
      </c>
      <c r="C541">
        <f t="shared" si="40"/>
        <v>2017</v>
      </c>
      <c r="D541">
        <f t="shared" si="41"/>
        <v>5</v>
      </c>
      <c r="E541" t="s">
        <v>73</v>
      </c>
      <c r="F541" t="s">
        <v>74</v>
      </c>
      <c r="G541" s="14">
        <v>64772</v>
      </c>
      <c r="H541" t="s">
        <v>81</v>
      </c>
      <c r="I541" t="s">
        <v>153</v>
      </c>
      <c r="J541" t="s">
        <v>682</v>
      </c>
      <c r="K541">
        <f t="shared" si="42"/>
        <v>1</v>
      </c>
      <c r="L541">
        <f t="shared" si="43"/>
        <v>0</v>
      </c>
      <c r="M541">
        <f t="shared" si="44"/>
        <v>1</v>
      </c>
    </row>
    <row r="542" spans="1:13">
      <c r="A542">
        <v>428</v>
      </c>
      <c r="B542" s="13">
        <v>42879</v>
      </c>
      <c r="C542">
        <f t="shared" si="40"/>
        <v>2017</v>
      </c>
      <c r="D542">
        <f t="shared" si="41"/>
        <v>5</v>
      </c>
      <c r="E542" t="s">
        <v>43</v>
      </c>
      <c r="F542" t="s">
        <v>134</v>
      </c>
      <c r="G542" s="14">
        <v>64418</v>
      </c>
      <c r="H542" t="s">
        <v>60</v>
      </c>
      <c r="I542" t="s">
        <v>114</v>
      </c>
      <c r="J542" t="s">
        <v>683</v>
      </c>
      <c r="K542">
        <f t="shared" si="42"/>
        <v>1</v>
      </c>
      <c r="L542">
        <f t="shared" si="43"/>
        <v>0</v>
      </c>
      <c r="M542">
        <f t="shared" si="44"/>
        <v>1</v>
      </c>
    </row>
    <row r="543" spans="1:13">
      <c r="A543">
        <v>175</v>
      </c>
      <c r="B543" s="13">
        <v>42880</v>
      </c>
      <c r="C543">
        <f t="shared" si="40"/>
        <v>2017</v>
      </c>
      <c r="D543">
        <f t="shared" si="41"/>
        <v>5</v>
      </c>
      <c r="E543" t="s">
        <v>76</v>
      </c>
      <c r="F543" t="s">
        <v>129</v>
      </c>
      <c r="G543" s="14">
        <v>64047</v>
      </c>
      <c r="H543" t="s">
        <v>53</v>
      </c>
      <c r="I543" t="s">
        <v>68</v>
      </c>
      <c r="J543" t="s">
        <v>684</v>
      </c>
      <c r="K543">
        <f t="shared" si="42"/>
        <v>1</v>
      </c>
      <c r="L543">
        <f t="shared" si="43"/>
        <v>0</v>
      </c>
      <c r="M543">
        <f t="shared" si="44"/>
        <v>1</v>
      </c>
    </row>
    <row r="544" spans="1:13">
      <c r="A544">
        <v>376</v>
      </c>
      <c r="B544" s="13">
        <v>42888</v>
      </c>
      <c r="C544">
        <f t="shared" si="40"/>
        <v>2017</v>
      </c>
      <c r="D544">
        <f t="shared" si="41"/>
        <v>6</v>
      </c>
      <c r="E544" t="s">
        <v>43</v>
      </c>
      <c r="F544" t="s">
        <v>44</v>
      </c>
      <c r="G544" s="14">
        <v>63377</v>
      </c>
      <c r="H544" t="s">
        <v>49</v>
      </c>
      <c r="I544" t="s">
        <v>50</v>
      </c>
      <c r="J544" t="s">
        <v>685</v>
      </c>
      <c r="K544">
        <f t="shared" si="42"/>
        <v>1</v>
      </c>
      <c r="L544">
        <f t="shared" si="43"/>
        <v>0</v>
      </c>
      <c r="M544">
        <f t="shared" si="44"/>
        <v>1</v>
      </c>
    </row>
    <row r="545" spans="1:13">
      <c r="A545">
        <v>347</v>
      </c>
      <c r="B545" s="13">
        <v>42890</v>
      </c>
      <c r="C545">
        <f t="shared" si="40"/>
        <v>2017</v>
      </c>
      <c r="D545">
        <f t="shared" si="41"/>
        <v>6</v>
      </c>
      <c r="E545" t="s">
        <v>63</v>
      </c>
      <c r="F545" t="s">
        <v>425</v>
      </c>
      <c r="G545" s="14">
        <v>76511</v>
      </c>
      <c r="H545" t="s">
        <v>40</v>
      </c>
      <c r="I545" t="s">
        <v>180</v>
      </c>
      <c r="J545" t="s">
        <v>686</v>
      </c>
      <c r="K545">
        <f t="shared" si="42"/>
        <v>1</v>
      </c>
      <c r="L545">
        <f t="shared" si="43"/>
        <v>0</v>
      </c>
      <c r="M545">
        <f t="shared" si="44"/>
        <v>1</v>
      </c>
    </row>
    <row r="546" spans="1:13">
      <c r="A546">
        <v>169</v>
      </c>
      <c r="B546" s="13">
        <v>42893</v>
      </c>
      <c r="C546">
        <f t="shared" si="40"/>
        <v>2017</v>
      </c>
      <c r="D546">
        <f t="shared" si="41"/>
        <v>6</v>
      </c>
      <c r="E546" t="s">
        <v>63</v>
      </c>
      <c r="F546" t="s">
        <v>162</v>
      </c>
      <c r="G546" s="14">
        <v>56792</v>
      </c>
      <c r="H546" t="s">
        <v>40</v>
      </c>
      <c r="I546" t="s">
        <v>180</v>
      </c>
      <c r="J546" t="s">
        <v>687</v>
      </c>
      <c r="K546">
        <f t="shared" si="42"/>
        <v>1</v>
      </c>
      <c r="L546">
        <f t="shared" si="43"/>
        <v>0</v>
      </c>
      <c r="M546">
        <f t="shared" si="44"/>
        <v>1</v>
      </c>
    </row>
    <row r="547" spans="1:13">
      <c r="A547">
        <v>539</v>
      </c>
      <c r="B547" s="13">
        <v>42897</v>
      </c>
      <c r="C547">
        <f t="shared" si="40"/>
        <v>2017</v>
      </c>
      <c r="D547">
        <f t="shared" si="41"/>
        <v>6</v>
      </c>
      <c r="E547" t="s">
        <v>73</v>
      </c>
      <c r="F547" t="s">
        <v>74</v>
      </c>
      <c r="G547" s="14">
        <v>49969</v>
      </c>
      <c r="H547" t="s">
        <v>53</v>
      </c>
      <c r="I547" t="s">
        <v>120</v>
      </c>
      <c r="J547" t="s">
        <v>688</v>
      </c>
      <c r="K547">
        <f t="shared" si="42"/>
        <v>1</v>
      </c>
      <c r="L547">
        <f t="shared" si="43"/>
        <v>0</v>
      </c>
      <c r="M547">
        <f t="shared" si="44"/>
        <v>1</v>
      </c>
    </row>
    <row r="548" spans="1:13">
      <c r="A548">
        <v>884</v>
      </c>
      <c r="B548" s="13">
        <v>42897</v>
      </c>
      <c r="C548">
        <f t="shared" si="40"/>
        <v>2017</v>
      </c>
      <c r="D548">
        <f t="shared" si="41"/>
        <v>6</v>
      </c>
      <c r="E548" t="s">
        <v>73</v>
      </c>
      <c r="F548" t="s">
        <v>102</v>
      </c>
      <c r="G548" s="14">
        <v>49913</v>
      </c>
      <c r="H548" t="s">
        <v>53</v>
      </c>
      <c r="I548" t="s">
        <v>120</v>
      </c>
      <c r="J548" t="s">
        <v>689</v>
      </c>
      <c r="K548">
        <f t="shared" si="42"/>
        <v>1</v>
      </c>
      <c r="L548">
        <f t="shared" si="43"/>
        <v>0</v>
      </c>
      <c r="M548">
        <f t="shared" si="44"/>
        <v>1</v>
      </c>
    </row>
    <row r="549" spans="1:13">
      <c r="A549">
        <v>472</v>
      </c>
      <c r="B549" s="13">
        <v>42902</v>
      </c>
      <c r="C549">
        <f t="shared" si="40"/>
        <v>2017</v>
      </c>
      <c r="D549">
        <f t="shared" si="41"/>
        <v>6</v>
      </c>
      <c r="E549" t="s">
        <v>38</v>
      </c>
      <c r="F549" t="s">
        <v>39</v>
      </c>
      <c r="G549" s="14">
        <v>47811</v>
      </c>
      <c r="H549" t="s">
        <v>49</v>
      </c>
      <c r="I549" t="s">
        <v>96</v>
      </c>
      <c r="J549" t="s">
        <v>690</v>
      </c>
      <c r="K549">
        <f t="shared" si="42"/>
        <v>1</v>
      </c>
      <c r="L549">
        <f t="shared" si="43"/>
        <v>0</v>
      </c>
      <c r="M549">
        <f t="shared" si="44"/>
        <v>1</v>
      </c>
    </row>
    <row r="550" spans="1:13">
      <c r="A550">
        <v>207</v>
      </c>
      <c r="B550" s="13">
        <v>42903</v>
      </c>
      <c r="C550">
        <f t="shared" si="40"/>
        <v>2017</v>
      </c>
      <c r="D550">
        <f t="shared" si="41"/>
        <v>6</v>
      </c>
      <c r="E550" t="s">
        <v>47</v>
      </c>
      <c r="F550" t="s">
        <v>116</v>
      </c>
      <c r="G550" s="14">
        <v>76270</v>
      </c>
      <c r="H550" t="s">
        <v>60</v>
      </c>
      <c r="I550" t="s">
        <v>114</v>
      </c>
      <c r="J550" t="s">
        <v>691</v>
      </c>
      <c r="K550">
        <f t="shared" si="42"/>
        <v>1</v>
      </c>
      <c r="L550">
        <f t="shared" si="43"/>
        <v>0</v>
      </c>
      <c r="M550">
        <f t="shared" si="44"/>
        <v>1</v>
      </c>
    </row>
    <row r="551" spans="1:13">
      <c r="A551">
        <v>543</v>
      </c>
      <c r="B551" s="13">
        <v>42908</v>
      </c>
      <c r="C551">
        <f t="shared" si="40"/>
        <v>2017</v>
      </c>
      <c r="D551">
        <f t="shared" si="41"/>
        <v>6</v>
      </c>
      <c r="E551" t="s">
        <v>47</v>
      </c>
      <c r="F551" t="s">
        <v>132</v>
      </c>
      <c r="G551" s="14">
        <v>72851</v>
      </c>
      <c r="H551" t="s">
        <v>57</v>
      </c>
      <c r="I551" t="s">
        <v>160</v>
      </c>
      <c r="J551" t="s">
        <v>692</v>
      </c>
      <c r="K551">
        <f t="shared" si="42"/>
        <v>1</v>
      </c>
      <c r="L551">
        <f t="shared" si="43"/>
        <v>0</v>
      </c>
      <c r="M551">
        <f t="shared" si="44"/>
        <v>1</v>
      </c>
    </row>
    <row r="552" spans="1:13">
      <c r="A552">
        <v>608</v>
      </c>
      <c r="B552" s="13">
        <v>42913</v>
      </c>
      <c r="C552">
        <f t="shared" si="40"/>
        <v>2017</v>
      </c>
      <c r="D552">
        <f t="shared" si="41"/>
        <v>6</v>
      </c>
      <c r="E552" t="s">
        <v>38</v>
      </c>
      <c r="F552" t="s">
        <v>112</v>
      </c>
      <c r="G552" s="14">
        <v>66565</v>
      </c>
      <c r="H552" t="s">
        <v>57</v>
      </c>
      <c r="I552" t="s">
        <v>106</v>
      </c>
      <c r="J552" t="s">
        <v>693</v>
      </c>
      <c r="K552">
        <f t="shared" si="42"/>
        <v>1</v>
      </c>
      <c r="L552">
        <f t="shared" si="43"/>
        <v>0</v>
      </c>
      <c r="M552">
        <f t="shared" si="44"/>
        <v>1</v>
      </c>
    </row>
    <row r="553" spans="1:13">
      <c r="A553">
        <v>384</v>
      </c>
      <c r="B553" s="13">
        <v>42915</v>
      </c>
      <c r="C553">
        <f t="shared" si="40"/>
        <v>2017</v>
      </c>
      <c r="D553">
        <f t="shared" si="41"/>
        <v>6</v>
      </c>
      <c r="E553" t="s">
        <v>38</v>
      </c>
      <c r="F553" t="s">
        <v>165</v>
      </c>
      <c r="G553" s="14">
        <v>49151</v>
      </c>
      <c r="H553" t="s">
        <v>57</v>
      </c>
      <c r="I553" t="s">
        <v>65</v>
      </c>
      <c r="J553" t="s">
        <v>694</v>
      </c>
      <c r="K553">
        <f t="shared" si="42"/>
        <v>1</v>
      </c>
      <c r="L553">
        <f t="shared" si="43"/>
        <v>0</v>
      </c>
      <c r="M553">
        <f t="shared" si="44"/>
        <v>1</v>
      </c>
    </row>
    <row r="554" spans="1:13">
      <c r="A554">
        <v>636</v>
      </c>
      <c r="B554" s="13">
        <v>42921</v>
      </c>
      <c r="C554">
        <f t="shared" si="40"/>
        <v>2017</v>
      </c>
      <c r="D554">
        <f t="shared" si="41"/>
        <v>7</v>
      </c>
      <c r="E554" t="s">
        <v>63</v>
      </c>
      <c r="F554" t="s">
        <v>425</v>
      </c>
      <c r="G554" s="14">
        <v>42801.58</v>
      </c>
      <c r="H554" t="s">
        <v>57</v>
      </c>
      <c r="I554" t="s">
        <v>106</v>
      </c>
      <c r="J554" t="s">
        <v>695</v>
      </c>
      <c r="K554">
        <f t="shared" si="42"/>
        <v>1</v>
      </c>
      <c r="L554">
        <f t="shared" si="43"/>
        <v>0</v>
      </c>
      <c r="M554">
        <f t="shared" si="44"/>
        <v>1</v>
      </c>
    </row>
    <row r="555" spans="1:13">
      <c r="A555">
        <v>110</v>
      </c>
      <c r="B555" s="13">
        <v>42925</v>
      </c>
      <c r="C555">
        <f t="shared" si="40"/>
        <v>2017</v>
      </c>
      <c r="D555">
        <f t="shared" si="41"/>
        <v>7</v>
      </c>
      <c r="E555" t="s">
        <v>43</v>
      </c>
      <c r="F555" t="s">
        <v>44</v>
      </c>
      <c r="G555" s="14">
        <v>50514</v>
      </c>
      <c r="H555" t="s">
        <v>53</v>
      </c>
      <c r="I555" t="s">
        <v>78</v>
      </c>
      <c r="J555" t="s">
        <v>696</v>
      </c>
      <c r="K555">
        <f t="shared" si="42"/>
        <v>1</v>
      </c>
      <c r="L555">
        <f t="shared" si="43"/>
        <v>0</v>
      </c>
      <c r="M555">
        <f t="shared" si="44"/>
        <v>1</v>
      </c>
    </row>
    <row r="556" spans="1:13">
      <c r="A556">
        <v>454</v>
      </c>
      <c r="B556" s="13">
        <v>42925</v>
      </c>
      <c r="C556">
        <f t="shared" si="40"/>
        <v>2017</v>
      </c>
      <c r="D556">
        <f t="shared" si="41"/>
        <v>7</v>
      </c>
      <c r="E556" t="s">
        <v>43</v>
      </c>
      <c r="F556" t="s">
        <v>44</v>
      </c>
      <c r="G556" s="14">
        <v>69213</v>
      </c>
      <c r="H556" t="s">
        <v>57</v>
      </c>
      <c r="I556" t="s">
        <v>231</v>
      </c>
      <c r="J556" t="s">
        <v>697</v>
      </c>
      <c r="K556">
        <f t="shared" si="42"/>
        <v>1</v>
      </c>
      <c r="L556">
        <f t="shared" si="43"/>
        <v>0</v>
      </c>
      <c r="M556">
        <f t="shared" si="44"/>
        <v>1</v>
      </c>
    </row>
    <row r="557" spans="1:13">
      <c r="A557">
        <v>677</v>
      </c>
      <c r="B557" s="13">
        <v>42925</v>
      </c>
      <c r="C557">
        <f t="shared" si="40"/>
        <v>2017</v>
      </c>
      <c r="D557">
        <f t="shared" si="41"/>
        <v>7</v>
      </c>
      <c r="E557" t="s">
        <v>38</v>
      </c>
      <c r="F557" t="s">
        <v>56</v>
      </c>
      <c r="G557" s="14">
        <v>61192</v>
      </c>
      <c r="H557" t="s">
        <v>60</v>
      </c>
      <c r="I557" t="s">
        <v>114</v>
      </c>
      <c r="J557" t="s">
        <v>698</v>
      </c>
      <c r="K557">
        <f t="shared" si="42"/>
        <v>1</v>
      </c>
      <c r="L557">
        <f t="shared" si="43"/>
        <v>0</v>
      </c>
      <c r="M557">
        <f t="shared" si="44"/>
        <v>1</v>
      </c>
    </row>
    <row r="558" spans="1:13">
      <c r="A558">
        <v>86</v>
      </c>
      <c r="B558" s="13">
        <v>42930</v>
      </c>
      <c r="C558">
        <f t="shared" si="40"/>
        <v>2017</v>
      </c>
      <c r="D558">
        <f t="shared" si="41"/>
        <v>7</v>
      </c>
      <c r="E558" t="s">
        <v>38</v>
      </c>
      <c r="F558" t="s">
        <v>165</v>
      </c>
      <c r="G558" s="14">
        <v>59169</v>
      </c>
      <c r="H558" t="s">
        <v>60</v>
      </c>
      <c r="I558" t="s">
        <v>114</v>
      </c>
      <c r="J558" t="s">
        <v>699</v>
      </c>
      <c r="K558">
        <f t="shared" si="42"/>
        <v>1</v>
      </c>
      <c r="L558">
        <f t="shared" si="43"/>
        <v>0</v>
      </c>
      <c r="M558">
        <f t="shared" si="44"/>
        <v>1</v>
      </c>
    </row>
    <row r="559" spans="1:13">
      <c r="A559">
        <v>269</v>
      </c>
      <c r="B559" s="13">
        <v>42930</v>
      </c>
      <c r="C559">
        <f t="shared" si="40"/>
        <v>2017</v>
      </c>
      <c r="D559">
        <f t="shared" si="41"/>
        <v>7</v>
      </c>
      <c r="E559" t="s">
        <v>73</v>
      </c>
      <c r="F559" t="s">
        <v>150</v>
      </c>
      <c r="G559" s="14">
        <v>54934</v>
      </c>
      <c r="H559" t="s">
        <v>49</v>
      </c>
      <c r="I559" t="s">
        <v>122</v>
      </c>
      <c r="J559" t="s">
        <v>700</v>
      </c>
      <c r="K559">
        <f t="shared" si="42"/>
        <v>1</v>
      </c>
      <c r="L559">
        <f t="shared" si="43"/>
        <v>0</v>
      </c>
      <c r="M559">
        <f t="shared" si="44"/>
        <v>1</v>
      </c>
    </row>
    <row r="560" spans="1:13">
      <c r="A560">
        <v>877</v>
      </c>
      <c r="B560" s="13">
        <v>42931</v>
      </c>
      <c r="C560">
        <f t="shared" si="40"/>
        <v>2017</v>
      </c>
      <c r="D560">
        <f t="shared" si="41"/>
        <v>7</v>
      </c>
      <c r="E560" t="s">
        <v>38</v>
      </c>
      <c r="F560" t="s">
        <v>126</v>
      </c>
      <c r="G560" s="14">
        <v>42610</v>
      </c>
      <c r="H560" t="s">
        <v>57</v>
      </c>
      <c r="I560" t="s">
        <v>58</v>
      </c>
      <c r="J560" t="s">
        <v>701</v>
      </c>
      <c r="K560">
        <f t="shared" si="42"/>
        <v>1</v>
      </c>
      <c r="L560">
        <f t="shared" si="43"/>
        <v>0</v>
      </c>
      <c r="M560">
        <f t="shared" si="44"/>
        <v>1</v>
      </c>
    </row>
    <row r="561" spans="1:13">
      <c r="A561">
        <v>621</v>
      </c>
      <c r="B561" s="13">
        <v>42932</v>
      </c>
      <c r="C561">
        <f t="shared" si="40"/>
        <v>2017</v>
      </c>
      <c r="D561">
        <f t="shared" si="41"/>
        <v>7</v>
      </c>
      <c r="E561" t="s">
        <v>76</v>
      </c>
      <c r="F561" t="s">
        <v>129</v>
      </c>
      <c r="G561" s="14">
        <v>40908</v>
      </c>
      <c r="H561" t="s">
        <v>40</v>
      </c>
      <c r="I561" t="s">
        <v>142</v>
      </c>
      <c r="J561" t="s">
        <v>702</v>
      </c>
      <c r="K561">
        <f t="shared" si="42"/>
        <v>1</v>
      </c>
      <c r="L561">
        <f t="shared" si="43"/>
        <v>0</v>
      </c>
      <c r="M561">
        <f t="shared" si="44"/>
        <v>1</v>
      </c>
    </row>
    <row r="562" spans="1:13">
      <c r="A562">
        <v>926</v>
      </c>
      <c r="B562" s="13">
        <v>42932</v>
      </c>
      <c r="C562">
        <f t="shared" si="40"/>
        <v>2017</v>
      </c>
      <c r="D562">
        <f t="shared" si="41"/>
        <v>7</v>
      </c>
      <c r="E562" t="s">
        <v>47</v>
      </c>
      <c r="F562" t="s">
        <v>116</v>
      </c>
      <c r="G562" s="14">
        <v>56100</v>
      </c>
      <c r="H562" t="s">
        <v>81</v>
      </c>
      <c r="I562" t="s">
        <v>108</v>
      </c>
      <c r="J562" t="s">
        <v>703</v>
      </c>
      <c r="K562">
        <f t="shared" si="42"/>
        <v>1</v>
      </c>
      <c r="L562">
        <f t="shared" si="43"/>
        <v>0</v>
      </c>
      <c r="M562">
        <f t="shared" si="44"/>
        <v>1</v>
      </c>
    </row>
    <row r="563" spans="1:13">
      <c r="A563">
        <v>731</v>
      </c>
      <c r="B563" s="13">
        <v>42935</v>
      </c>
      <c r="C563">
        <f t="shared" si="40"/>
        <v>2017</v>
      </c>
      <c r="D563">
        <f t="shared" si="41"/>
        <v>7</v>
      </c>
      <c r="E563" t="s">
        <v>76</v>
      </c>
      <c r="F563" t="s">
        <v>77</v>
      </c>
      <c r="G563" s="14">
        <v>65334</v>
      </c>
      <c r="H563" t="s">
        <v>57</v>
      </c>
      <c r="I563" t="s">
        <v>160</v>
      </c>
      <c r="J563" t="s">
        <v>704</v>
      </c>
      <c r="K563">
        <f t="shared" si="42"/>
        <v>1</v>
      </c>
      <c r="L563">
        <f t="shared" si="43"/>
        <v>0</v>
      </c>
      <c r="M563">
        <f t="shared" si="44"/>
        <v>1</v>
      </c>
    </row>
    <row r="564" spans="1:13">
      <c r="A564">
        <v>739</v>
      </c>
      <c r="B564" s="13">
        <v>42941</v>
      </c>
      <c r="C564">
        <f t="shared" si="40"/>
        <v>2017</v>
      </c>
      <c r="D564">
        <f t="shared" si="41"/>
        <v>7</v>
      </c>
      <c r="E564" t="s">
        <v>94</v>
      </c>
      <c r="F564" t="s">
        <v>652</v>
      </c>
      <c r="G564" s="14">
        <v>75438</v>
      </c>
      <c r="H564" t="s">
        <v>57</v>
      </c>
      <c r="I564" t="s">
        <v>160</v>
      </c>
      <c r="J564" t="s">
        <v>705</v>
      </c>
      <c r="K564">
        <f t="shared" si="42"/>
        <v>1</v>
      </c>
      <c r="L564">
        <f t="shared" si="43"/>
        <v>0</v>
      </c>
      <c r="M564">
        <f t="shared" si="44"/>
        <v>1</v>
      </c>
    </row>
    <row r="565" spans="1:13">
      <c r="A565">
        <v>166</v>
      </c>
      <c r="B565" s="13">
        <v>42946</v>
      </c>
      <c r="C565">
        <f t="shared" si="40"/>
        <v>2017</v>
      </c>
      <c r="D565">
        <f t="shared" si="41"/>
        <v>7</v>
      </c>
      <c r="E565" t="s">
        <v>47</v>
      </c>
      <c r="F565" t="s">
        <v>48</v>
      </c>
      <c r="G565" s="14">
        <v>57159.45</v>
      </c>
      <c r="H565" t="s">
        <v>49</v>
      </c>
      <c r="I565" t="s">
        <v>96</v>
      </c>
      <c r="J565" t="s">
        <v>706</v>
      </c>
      <c r="K565">
        <f t="shared" si="42"/>
        <v>1</v>
      </c>
      <c r="L565">
        <f t="shared" si="43"/>
        <v>0</v>
      </c>
      <c r="M565">
        <f t="shared" si="44"/>
        <v>1</v>
      </c>
    </row>
    <row r="566" spans="1:13">
      <c r="A566">
        <v>430</v>
      </c>
      <c r="B566" s="13">
        <v>42947</v>
      </c>
      <c r="C566">
        <f t="shared" si="40"/>
        <v>2017</v>
      </c>
      <c r="D566">
        <f t="shared" si="41"/>
        <v>7</v>
      </c>
      <c r="E566" t="s">
        <v>76</v>
      </c>
      <c r="F566" t="s">
        <v>216</v>
      </c>
      <c r="G566" s="14">
        <v>79875</v>
      </c>
      <c r="H566" t="s">
        <v>49</v>
      </c>
      <c r="I566" t="s">
        <v>96</v>
      </c>
      <c r="J566" t="s">
        <v>707</v>
      </c>
      <c r="K566">
        <f t="shared" si="42"/>
        <v>1</v>
      </c>
      <c r="L566">
        <f t="shared" si="43"/>
        <v>0</v>
      </c>
      <c r="M566">
        <f t="shared" si="44"/>
        <v>1</v>
      </c>
    </row>
    <row r="567" spans="1:13">
      <c r="A567">
        <v>195</v>
      </c>
      <c r="B567" s="13">
        <v>42949</v>
      </c>
      <c r="C567">
        <f t="shared" si="40"/>
        <v>2017</v>
      </c>
      <c r="D567">
        <f t="shared" si="41"/>
        <v>8</v>
      </c>
      <c r="E567" t="s">
        <v>38</v>
      </c>
      <c r="F567" t="s">
        <v>56</v>
      </c>
      <c r="G567" s="14">
        <v>43554</v>
      </c>
      <c r="H567" t="s">
        <v>81</v>
      </c>
      <c r="I567" t="s">
        <v>146</v>
      </c>
      <c r="J567" t="s">
        <v>708</v>
      </c>
      <c r="K567">
        <f t="shared" si="42"/>
        <v>1</v>
      </c>
      <c r="L567">
        <f t="shared" si="43"/>
        <v>0</v>
      </c>
      <c r="M567">
        <f t="shared" si="44"/>
        <v>1</v>
      </c>
    </row>
    <row r="568" spans="1:13">
      <c r="A568">
        <v>246</v>
      </c>
      <c r="B568" s="13">
        <v>42950</v>
      </c>
      <c r="C568">
        <f t="shared" si="40"/>
        <v>2017</v>
      </c>
      <c r="D568">
        <f t="shared" si="41"/>
        <v>8</v>
      </c>
      <c r="E568" t="s">
        <v>43</v>
      </c>
      <c r="F568" t="s">
        <v>44</v>
      </c>
      <c r="G568" s="14">
        <v>58150</v>
      </c>
      <c r="H568" t="s">
        <v>40</v>
      </c>
      <c r="I568" t="s">
        <v>144</v>
      </c>
      <c r="J568" t="s">
        <v>709</v>
      </c>
      <c r="K568">
        <f t="shared" si="42"/>
        <v>1</v>
      </c>
      <c r="L568">
        <f t="shared" si="43"/>
        <v>0</v>
      </c>
      <c r="M568">
        <f t="shared" si="44"/>
        <v>1</v>
      </c>
    </row>
    <row r="569" spans="1:13">
      <c r="A569">
        <v>812</v>
      </c>
      <c r="B569" s="13">
        <v>42954</v>
      </c>
      <c r="C569">
        <f t="shared" si="40"/>
        <v>2017</v>
      </c>
      <c r="D569">
        <f t="shared" si="41"/>
        <v>8</v>
      </c>
      <c r="E569" t="s">
        <v>73</v>
      </c>
      <c r="F569" t="s">
        <v>140</v>
      </c>
      <c r="G569" s="14">
        <v>48334</v>
      </c>
      <c r="H569" t="s">
        <v>60</v>
      </c>
      <c r="I569" t="s">
        <v>114</v>
      </c>
      <c r="J569" t="s">
        <v>710</v>
      </c>
      <c r="K569">
        <f t="shared" si="42"/>
        <v>1</v>
      </c>
      <c r="L569">
        <f t="shared" si="43"/>
        <v>0</v>
      </c>
      <c r="M569">
        <f t="shared" si="44"/>
        <v>1</v>
      </c>
    </row>
    <row r="570" spans="1:13">
      <c r="A570">
        <v>108</v>
      </c>
      <c r="B570" s="13">
        <v>42955</v>
      </c>
      <c r="C570">
        <f t="shared" si="40"/>
        <v>2017</v>
      </c>
      <c r="D570">
        <f t="shared" si="41"/>
        <v>8</v>
      </c>
      <c r="E570" t="s">
        <v>38</v>
      </c>
      <c r="F570" t="s">
        <v>126</v>
      </c>
      <c r="G570" s="14">
        <v>51361</v>
      </c>
      <c r="H570" t="s">
        <v>81</v>
      </c>
      <c r="I570" t="s">
        <v>82</v>
      </c>
      <c r="J570" t="s">
        <v>711</v>
      </c>
      <c r="K570">
        <f t="shared" si="42"/>
        <v>1</v>
      </c>
      <c r="L570">
        <f t="shared" si="43"/>
        <v>0</v>
      </c>
      <c r="M570">
        <f t="shared" si="44"/>
        <v>1</v>
      </c>
    </row>
    <row r="571" spans="1:13">
      <c r="A571">
        <v>263</v>
      </c>
      <c r="B571" s="13">
        <v>42955</v>
      </c>
      <c r="C571">
        <f t="shared" si="40"/>
        <v>2017</v>
      </c>
      <c r="D571">
        <f t="shared" si="41"/>
        <v>8</v>
      </c>
      <c r="E571" t="s">
        <v>76</v>
      </c>
      <c r="F571" t="s">
        <v>138</v>
      </c>
      <c r="G571" s="14">
        <v>79980</v>
      </c>
      <c r="H571" t="s">
        <v>40</v>
      </c>
      <c r="I571" t="s">
        <v>98</v>
      </c>
      <c r="J571" t="s">
        <v>712</v>
      </c>
      <c r="K571">
        <f t="shared" si="42"/>
        <v>1</v>
      </c>
      <c r="L571">
        <f t="shared" si="43"/>
        <v>0</v>
      </c>
      <c r="M571">
        <f t="shared" si="44"/>
        <v>1</v>
      </c>
    </row>
    <row r="572" spans="1:13">
      <c r="A572">
        <v>118</v>
      </c>
      <c r="B572" s="13">
        <v>42956</v>
      </c>
      <c r="C572">
        <f t="shared" si="40"/>
        <v>2017</v>
      </c>
      <c r="D572">
        <f t="shared" si="41"/>
        <v>8</v>
      </c>
      <c r="E572" t="s">
        <v>47</v>
      </c>
      <c r="F572" t="s">
        <v>155</v>
      </c>
      <c r="G572" s="14">
        <v>53529</v>
      </c>
      <c r="H572" t="s">
        <v>60</v>
      </c>
      <c r="I572" t="s">
        <v>188</v>
      </c>
      <c r="J572" t="s">
        <v>713</v>
      </c>
      <c r="K572">
        <f t="shared" si="42"/>
        <v>1</v>
      </c>
      <c r="L572">
        <f t="shared" si="43"/>
        <v>0</v>
      </c>
      <c r="M572">
        <f t="shared" si="44"/>
        <v>1</v>
      </c>
    </row>
    <row r="573" spans="1:13">
      <c r="A573">
        <v>835</v>
      </c>
      <c r="B573" s="13">
        <v>42957</v>
      </c>
      <c r="C573">
        <f t="shared" si="40"/>
        <v>2017</v>
      </c>
      <c r="D573">
        <f t="shared" si="41"/>
        <v>8</v>
      </c>
      <c r="E573" t="s">
        <v>73</v>
      </c>
      <c r="F573" t="s">
        <v>150</v>
      </c>
      <c r="G573" s="14">
        <v>59797</v>
      </c>
      <c r="H573" t="s">
        <v>60</v>
      </c>
      <c r="I573" t="s">
        <v>61</v>
      </c>
      <c r="J573" t="s">
        <v>714</v>
      </c>
      <c r="K573">
        <f t="shared" si="42"/>
        <v>1</v>
      </c>
      <c r="L573">
        <f t="shared" si="43"/>
        <v>0</v>
      </c>
      <c r="M573">
        <f t="shared" si="44"/>
        <v>1</v>
      </c>
    </row>
    <row r="574" spans="1:13">
      <c r="A574">
        <v>282</v>
      </c>
      <c r="B574" s="13">
        <v>42962</v>
      </c>
      <c r="C574">
        <f t="shared" si="40"/>
        <v>2017</v>
      </c>
      <c r="D574">
        <f t="shared" si="41"/>
        <v>8</v>
      </c>
      <c r="E574" t="s">
        <v>47</v>
      </c>
      <c r="F574" t="s">
        <v>132</v>
      </c>
      <c r="G574" s="14">
        <v>47365</v>
      </c>
      <c r="H574" t="s">
        <v>49</v>
      </c>
      <c r="I574" t="s">
        <v>103</v>
      </c>
      <c r="J574" t="s">
        <v>715</v>
      </c>
      <c r="K574">
        <f t="shared" si="42"/>
        <v>1</v>
      </c>
      <c r="L574">
        <f t="shared" si="43"/>
        <v>0</v>
      </c>
      <c r="M574">
        <f t="shared" si="44"/>
        <v>1</v>
      </c>
    </row>
    <row r="575" spans="1:13">
      <c r="A575">
        <v>945</v>
      </c>
      <c r="B575" s="13">
        <v>42962</v>
      </c>
      <c r="C575">
        <f t="shared" si="40"/>
        <v>2017</v>
      </c>
      <c r="D575">
        <f t="shared" si="41"/>
        <v>8</v>
      </c>
      <c r="E575" t="s">
        <v>63</v>
      </c>
      <c r="F575" t="s">
        <v>425</v>
      </c>
      <c r="G575" s="14">
        <v>77333</v>
      </c>
      <c r="H575" t="s">
        <v>40</v>
      </c>
      <c r="I575" t="s">
        <v>180</v>
      </c>
      <c r="J575" t="s">
        <v>716</v>
      </c>
      <c r="K575">
        <f t="shared" si="42"/>
        <v>1</v>
      </c>
      <c r="L575">
        <f t="shared" si="43"/>
        <v>0</v>
      </c>
      <c r="M575">
        <f t="shared" si="44"/>
        <v>1</v>
      </c>
    </row>
    <row r="576" spans="1:13">
      <c r="A576">
        <v>648</v>
      </c>
      <c r="B576" s="13">
        <v>42963</v>
      </c>
      <c r="C576">
        <f t="shared" si="40"/>
        <v>2017</v>
      </c>
      <c r="D576">
        <f t="shared" si="41"/>
        <v>8</v>
      </c>
      <c r="E576" t="s">
        <v>47</v>
      </c>
      <c r="F576" t="s">
        <v>52</v>
      </c>
      <c r="G576" s="14">
        <v>64893</v>
      </c>
      <c r="H576" t="s">
        <v>57</v>
      </c>
      <c r="I576" t="s">
        <v>160</v>
      </c>
      <c r="J576" t="s">
        <v>717</v>
      </c>
      <c r="K576">
        <f t="shared" si="42"/>
        <v>1</v>
      </c>
      <c r="L576">
        <f t="shared" si="43"/>
        <v>0</v>
      </c>
      <c r="M576">
        <f t="shared" si="44"/>
        <v>1</v>
      </c>
    </row>
    <row r="577" spans="1:13">
      <c r="A577">
        <v>686</v>
      </c>
      <c r="B577" s="13">
        <v>42964</v>
      </c>
      <c r="C577">
        <f t="shared" si="40"/>
        <v>2017</v>
      </c>
      <c r="D577">
        <f t="shared" si="41"/>
        <v>8</v>
      </c>
      <c r="E577" t="s">
        <v>73</v>
      </c>
      <c r="F577" t="s">
        <v>223</v>
      </c>
      <c r="G577" s="14">
        <v>70057</v>
      </c>
      <c r="H577" t="s">
        <v>60</v>
      </c>
      <c r="I577" t="s">
        <v>114</v>
      </c>
      <c r="J577" t="s">
        <v>718</v>
      </c>
      <c r="K577">
        <f t="shared" si="42"/>
        <v>1</v>
      </c>
      <c r="L577">
        <f t="shared" si="43"/>
        <v>0</v>
      </c>
      <c r="M577">
        <f t="shared" si="44"/>
        <v>1</v>
      </c>
    </row>
    <row r="578" spans="1:13">
      <c r="A578">
        <v>470</v>
      </c>
      <c r="B578" s="13">
        <v>42965</v>
      </c>
      <c r="C578">
        <f t="shared" ref="C578:C641" si="45">YEAR(B578)</f>
        <v>2017</v>
      </c>
      <c r="D578">
        <f t="shared" ref="D578:D641" si="46">MONTH(B578)</f>
        <v>8</v>
      </c>
      <c r="E578" t="s">
        <v>43</v>
      </c>
      <c r="F578" t="s">
        <v>44</v>
      </c>
      <c r="G578" s="14">
        <v>40212</v>
      </c>
      <c r="H578" t="s">
        <v>60</v>
      </c>
      <c r="I578" t="s">
        <v>188</v>
      </c>
      <c r="J578" t="s">
        <v>719</v>
      </c>
      <c r="K578">
        <f t="shared" ref="K578:K641" si="47">IF(AND(OR(sel_ano="Todos",C578=sel_ano),OR(sel_pais="Todos",H578=sel_pais),OR(sel_marca="Todas",E578=sel_marca)),1,0)</f>
        <v>1</v>
      </c>
      <c r="L578">
        <f t="shared" ref="L578:L641" si="48">IF(sel_ano="Todos",0,IF(AND(C578=sel_ano-1,OR(sel_pais="Todos",H578=sel_pais),OR(sel_marca="Todas",E578=sel_marca)),1,0))</f>
        <v>0</v>
      </c>
      <c r="M578">
        <f t="shared" ref="M578:M641" si="49">IF(AND(OR(sel_pais="Todos",H578=sel_pais),OR(sel_marca="Todas",E578=sel_marca)),1,0)</f>
        <v>1</v>
      </c>
    </row>
    <row r="579" spans="1:13">
      <c r="A579">
        <v>332</v>
      </c>
      <c r="B579" s="13">
        <v>42966</v>
      </c>
      <c r="C579">
        <f t="shared" si="45"/>
        <v>2017</v>
      </c>
      <c r="D579">
        <f t="shared" si="46"/>
        <v>8</v>
      </c>
      <c r="E579" t="s">
        <v>38</v>
      </c>
      <c r="F579" t="s">
        <v>56</v>
      </c>
      <c r="G579" s="14">
        <v>73103</v>
      </c>
      <c r="H579" t="s">
        <v>57</v>
      </c>
      <c r="I579" t="s">
        <v>106</v>
      </c>
      <c r="J579" t="s">
        <v>720</v>
      </c>
      <c r="K579">
        <f t="shared" si="47"/>
        <v>1</v>
      </c>
      <c r="L579">
        <f t="shared" si="48"/>
        <v>0</v>
      </c>
      <c r="M579">
        <f t="shared" si="49"/>
        <v>1</v>
      </c>
    </row>
    <row r="580" spans="1:13">
      <c r="A580">
        <v>808</v>
      </c>
      <c r="B580" s="13">
        <v>42969</v>
      </c>
      <c r="C580">
        <f t="shared" si="45"/>
        <v>2017</v>
      </c>
      <c r="D580">
        <f t="shared" si="46"/>
        <v>8</v>
      </c>
      <c r="E580" t="s">
        <v>94</v>
      </c>
      <c r="F580" t="s">
        <v>328</v>
      </c>
      <c r="G580" s="14">
        <v>60081</v>
      </c>
      <c r="H580" t="s">
        <v>81</v>
      </c>
      <c r="I580" t="s">
        <v>146</v>
      </c>
      <c r="J580" t="s">
        <v>721</v>
      </c>
      <c r="K580">
        <f t="shared" si="47"/>
        <v>1</v>
      </c>
      <c r="L580">
        <f t="shared" si="48"/>
        <v>0</v>
      </c>
      <c r="M580">
        <f t="shared" si="49"/>
        <v>1</v>
      </c>
    </row>
    <row r="581" spans="1:13">
      <c r="A581">
        <v>503</v>
      </c>
      <c r="B581" s="13">
        <v>42970</v>
      </c>
      <c r="C581">
        <f t="shared" si="45"/>
        <v>2017</v>
      </c>
      <c r="D581">
        <f t="shared" si="46"/>
        <v>8</v>
      </c>
      <c r="E581" t="s">
        <v>76</v>
      </c>
      <c r="F581" t="s">
        <v>77</v>
      </c>
      <c r="G581" s="14">
        <v>40204</v>
      </c>
      <c r="H581" t="s">
        <v>81</v>
      </c>
      <c r="I581" t="s">
        <v>146</v>
      </c>
      <c r="J581" t="s">
        <v>722</v>
      </c>
      <c r="K581">
        <f t="shared" si="47"/>
        <v>1</v>
      </c>
      <c r="L581">
        <f t="shared" si="48"/>
        <v>0</v>
      </c>
      <c r="M581">
        <f t="shared" si="49"/>
        <v>1</v>
      </c>
    </row>
    <row r="582" spans="1:13">
      <c r="A582">
        <v>595</v>
      </c>
      <c r="B582" s="13">
        <v>42971</v>
      </c>
      <c r="C582">
        <f t="shared" si="45"/>
        <v>2017</v>
      </c>
      <c r="D582">
        <f t="shared" si="46"/>
        <v>8</v>
      </c>
      <c r="E582" t="s">
        <v>76</v>
      </c>
      <c r="F582" t="s">
        <v>129</v>
      </c>
      <c r="G582" s="14">
        <v>65648</v>
      </c>
      <c r="H582" t="s">
        <v>49</v>
      </c>
      <c r="I582" t="s">
        <v>96</v>
      </c>
      <c r="J582" t="s">
        <v>723</v>
      </c>
      <c r="K582">
        <f t="shared" si="47"/>
        <v>1</v>
      </c>
      <c r="L582">
        <f t="shared" si="48"/>
        <v>0</v>
      </c>
      <c r="M582">
        <f t="shared" si="49"/>
        <v>1</v>
      </c>
    </row>
    <row r="583" spans="1:13">
      <c r="A583">
        <v>743</v>
      </c>
      <c r="B583" s="13">
        <v>42971</v>
      </c>
      <c r="C583">
        <f t="shared" si="45"/>
        <v>2017</v>
      </c>
      <c r="D583">
        <f t="shared" si="46"/>
        <v>8</v>
      </c>
      <c r="E583" t="s">
        <v>73</v>
      </c>
      <c r="F583" t="s">
        <v>223</v>
      </c>
      <c r="G583" s="14">
        <v>59379</v>
      </c>
      <c r="H583" t="s">
        <v>60</v>
      </c>
      <c r="I583" t="s">
        <v>71</v>
      </c>
      <c r="J583" t="s">
        <v>724</v>
      </c>
      <c r="K583">
        <f t="shared" si="47"/>
        <v>1</v>
      </c>
      <c r="L583">
        <f t="shared" si="48"/>
        <v>0</v>
      </c>
      <c r="M583">
        <f t="shared" si="49"/>
        <v>1</v>
      </c>
    </row>
    <row r="584" spans="1:13">
      <c r="A584">
        <v>265</v>
      </c>
      <c r="B584" s="13">
        <v>42973</v>
      </c>
      <c r="C584">
        <f t="shared" si="45"/>
        <v>2017</v>
      </c>
      <c r="D584">
        <f t="shared" si="46"/>
        <v>8</v>
      </c>
      <c r="E584" t="s">
        <v>47</v>
      </c>
      <c r="F584" t="s">
        <v>272</v>
      </c>
      <c r="G584" s="14">
        <v>52888</v>
      </c>
      <c r="H584" t="s">
        <v>60</v>
      </c>
      <c r="I584" t="s">
        <v>71</v>
      </c>
      <c r="J584" t="s">
        <v>725</v>
      </c>
      <c r="K584">
        <f t="shared" si="47"/>
        <v>1</v>
      </c>
      <c r="L584">
        <f t="shared" si="48"/>
        <v>0</v>
      </c>
      <c r="M584">
        <f t="shared" si="49"/>
        <v>1</v>
      </c>
    </row>
    <row r="585" spans="1:13">
      <c r="A585">
        <v>862</v>
      </c>
      <c r="B585" s="13">
        <v>42974</v>
      </c>
      <c r="C585">
        <f t="shared" si="45"/>
        <v>2017</v>
      </c>
      <c r="D585">
        <f t="shared" si="46"/>
        <v>8</v>
      </c>
      <c r="E585" t="s">
        <v>73</v>
      </c>
      <c r="F585" t="s">
        <v>223</v>
      </c>
      <c r="G585" s="14">
        <v>78180</v>
      </c>
      <c r="H585" t="s">
        <v>40</v>
      </c>
      <c r="I585" t="s">
        <v>144</v>
      </c>
      <c r="J585" t="s">
        <v>726</v>
      </c>
      <c r="K585">
        <f t="shared" si="47"/>
        <v>1</v>
      </c>
      <c r="L585">
        <f t="shared" si="48"/>
        <v>0</v>
      </c>
      <c r="M585">
        <f t="shared" si="49"/>
        <v>1</v>
      </c>
    </row>
    <row r="586" spans="1:13">
      <c r="A586">
        <v>151</v>
      </c>
      <c r="B586" s="13">
        <v>42977</v>
      </c>
      <c r="C586">
        <f t="shared" si="45"/>
        <v>2017</v>
      </c>
      <c r="D586">
        <f t="shared" si="46"/>
        <v>8</v>
      </c>
      <c r="E586" t="s">
        <v>73</v>
      </c>
      <c r="F586" t="s">
        <v>150</v>
      </c>
      <c r="G586" s="14">
        <v>61133</v>
      </c>
      <c r="H586" t="s">
        <v>81</v>
      </c>
      <c r="I586" t="s">
        <v>190</v>
      </c>
      <c r="J586" t="s">
        <v>727</v>
      </c>
      <c r="K586">
        <f t="shared" si="47"/>
        <v>1</v>
      </c>
      <c r="L586">
        <f t="shared" si="48"/>
        <v>0</v>
      </c>
      <c r="M586">
        <f t="shared" si="49"/>
        <v>1</v>
      </c>
    </row>
    <row r="587" spans="1:13">
      <c r="A587">
        <v>832</v>
      </c>
      <c r="B587" s="13">
        <v>42978</v>
      </c>
      <c r="C587">
        <f t="shared" si="45"/>
        <v>2017</v>
      </c>
      <c r="D587">
        <f t="shared" si="46"/>
        <v>8</v>
      </c>
      <c r="E587" t="s">
        <v>63</v>
      </c>
      <c r="F587" t="s">
        <v>124</v>
      </c>
      <c r="G587" s="14">
        <v>47522</v>
      </c>
      <c r="H587" t="s">
        <v>49</v>
      </c>
      <c r="I587" t="s">
        <v>103</v>
      </c>
      <c r="J587" t="s">
        <v>728</v>
      </c>
      <c r="K587">
        <f t="shared" si="47"/>
        <v>1</v>
      </c>
      <c r="L587">
        <f t="shared" si="48"/>
        <v>0</v>
      </c>
      <c r="M587">
        <f t="shared" si="49"/>
        <v>1</v>
      </c>
    </row>
    <row r="588" spans="1:13">
      <c r="A588">
        <v>473</v>
      </c>
      <c r="B588" s="13">
        <v>42981</v>
      </c>
      <c r="C588">
        <f t="shared" si="45"/>
        <v>2017</v>
      </c>
      <c r="D588">
        <f t="shared" si="46"/>
        <v>9</v>
      </c>
      <c r="E588" t="s">
        <v>76</v>
      </c>
      <c r="F588" t="s">
        <v>294</v>
      </c>
      <c r="G588" s="14">
        <v>78862</v>
      </c>
      <c r="H588" t="s">
        <v>40</v>
      </c>
      <c r="I588" t="s">
        <v>144</v>
      </c>
      <c r="J588" t="s">
        <v>729</v>
      </c>
      <c r="K588">
        <f t="shared" si="47"/>
        <v>1</v>
      </c>
      <c r="L588">
        <f t="shared" si="48"/>
        <v>0</v>
      </c>
      <c r="M588">
        <f t="shared" si="49"/>
        <v>1</v>
      </c>
    </row>
    <row r="589" spans="1:13">
      <c r="A589">
        <v>603</v>
      </c>
      <c r="B589" s="13">
        <v>42987</v>
      </c>
      <c r="C589">
        <f t="shared" si="45"/>
        <v>2017</v>
      </c>
      <c r="D589">
        <f t="shared" si="46"/>
        <v>9</v>
      </c>
      <c r="E589" t="s">
        <v>47</v>
      </c>
      <c r="F589" t="s">
        <v>272</v>
      </c>
      <c r="G589" s="14">
        <v>48270</v>
      </c>
      <c r="H589" t="s">
        <v>53</v>
      </c>
      <c r="I589" t="s">
        <v>78</v>
      </c>
      <c r="J589" t="s">
        <v>730</v>
      </c>
      <c r="K589">
        <f t="shared" si="47"/>
        <v>1</v>
      </c>
      <c r="L589">
        <f t="shared" si="48"/>
        <v>0</v>
      </c>
      <c r="M589">
        <f t="shared" si="49"/>
        <v>1</v>
      </c>
    </row>
    <row r="590" spans="1:13">
      <c r="A590">
        <v>755</v>
      </c>
      <c r="B590" s="13">
        <v>42987</v>
      </c>
      <c r="C590">
        <f t="shared" si="45"/>
        <v>2017</v>
      </c>
      <c r="D590">
        <f t="shared" si="46"/>
        <v>9</v>
      </c>
      <c r="E590" t="s">
        <v>47</v>
      </c>
      <c r="F590" t="s">
        <v>132</v>
      </c>
      <c r="G590" s="14">
        <v>49164</v>
      </c>
      <c r="H590" t="s">
        <v>53</v>
      </c>
      <c r="I590" t="s">
        <v>78</v>
      </c>
      <c r="J590" t="s">
        <v>731</v>
      </c>
      <c r="K590">
        <f t="shared" si="47"/>
        <v>1</v>
      </c>
      <c r="L590">
        <f t="shared" si="48"/>
        <v>0</v>
      </c>
      <c r="M590">
        <f t="shared" si="49"/>
        <v>1</v>
      </c>
    </row>
    <row r="591" spans="1:13">
      <c r="A591">
        <v>840</v>
      </c>
      <c r="B591" s="13">
        <v>42987</v>
      </c>
      <c r="C591">
        <f t="shared" si="45"/>
        <v>2017</v>
      </c>
      <c r="D591">
        <f t="shared" si="46"/>
        <v>9</v>
      </c>
      <c r="E591" t="s">
        <v>63</v>
      </c>
      <c r="F591" t="s">
        <v>124</v>
      </c>
      <c r="G591" s="14">
        <v>72981</v>
      </c>
      <c r="H591" t="s">
        <v>40</v>
      </c>
      <c r="I591" t="s">
        <v>291</v>
      </c>
      <c r="J591" t="s">
        <v>732</v>
      </c>
      <c r="K591">
        <f t="shared" si="47"/>
        <v>1</v>
      </c>
      <c r="L591">
        <f t="shared" si="48"/>
        <v>0</v>
      </c>
      <c r="M591">
        <f t="shared" si="49"/>
        <v>1</v>
      </c>
    </row>
    <row r="592" spans="1:13">
      <c r="A592">
        <v>518</v>
      </c>
      <c r="B592" s="13">
        <v>42990</v>
      </c>
      <c r="C592">
        <f t="shared" si="45"/>
        <v>2017</v>
      </c>
      <c r="D592">
        <f t="shared" si="46"/>
        <v>9</v>
      </c>
      <c r="E592" t="s">
        <v>76</v>
      </c>
      <c r="F592" t="s">
        <v>207</v>
      </c>
      <c r="G592" s="14">
        <v>76697</v>
      </c>
      <c r="H592" t="s">
        <v>40</v>
      </c>
      <c r="I592" t="s">
        <v>85</v>
      </c>
      <c r="J592" t="s">
        <v>733</v>
      </c>
      <c r="K592">
        <f t="shared" si="47"/>
        <v>1</v>
      </c>
      <c r="L592">
        <f t="shared" si="48"/>
        <v>0</v>
      </c>
      <c r="M592">
        <f t="shared" si="49"/>
        <v>1</v>
      </c>
    </row>
    <row r="593" spans="1:13">
      <c r="A593">
        <v>866</v>
      </c>
      <c r="B593" s="13">
        <v>42990</v>
      </c>
      <c r="C593">
        <f t="shared" si="45"/>
        <v>2017</v>
      </c>
      <c r="D593">
        <f t="shared" si="46"/>
        <v>9</v>
      </c>
      <c r="E593" t="s">
        <v>73</v>
      </c>
      <c r="F593" t="s">
        <v>119</v>
      </c>
      <c r="G593" s="14">
        <v>42274</v>
      </c>
      <c r="H593" t="s">
        <v>60</v>
      </c>
      <c r="I593" t="s">
        <v>199</v>
      </c>
      <c r="J593" t="s">
        <v>734</v>
      </c>
      <c r="K593">
        <f t="shared" si="47"/>
        <v>1</v>
      </c>
      <c r="L593">
        <f t="shared" si="48"/>
        <v>0</v>
      </c>
      <c r="M593">
        <f t="shared" si="49"/>
        <v>1</v>
      </c>
    </row>
    <row r="594" spans="1:13">
      <c r="A594">
        <v>238</v>
      </c>
      <c r="B594" s="13">
        <v>42991</v>
      </c>
      <c r="C594">
        <f t="shared" si="45"/>
        <v>2017</v>
      </c>
      <c r="D594">
        <f t="shared" si="46"/>
        <v>9</v>
      </c>
      <c r="E594" t="s">
        <v>38</v>
      </c>
      <c r="F594" t="s">
        <v>80</v>
      </c>
      <c r="G594" s="14">
        <v>40057</v>
      </c>
      <c r="H594" t="s">
        <v>49</v>
      </c>
      <c r="I594" t="s">
        <v>122</v>
      </c>
      <c r="J594" t="s">
        <v>735</v>
      </c>
      <c r="K594">
        <f t="shared" si="47"/>
        <v>1</v>
      </c>
      <c r="L594">
        <f t="shared" si="48"/>
        <v>0</v>
      </c>
      <c r="M594">
        <f t="shared" si="49"/>
        <v>1</v>
      </c>
    </row>
    <row r="595" spans="1:13">
      <c r="A595">
        <v>105</v>
      </c>
      <c r="B595" s="13">
        <v>42992</v>
      </c>
      <c r="C595">
        <f t="shared" si="45"/>
        <v>2017</v>
      </c>
      <c r="D595">
        <f t="shared" si="46"/>
        <v>9</v>
      </c>
      <c r="E595" t="s">
        <v>76</v>
      </c>
      <c r="F595" t="s">
        <v>110</v>
      </c>
      <c r="G595" s="14">
        <v>72929</v>
      </c>
      <c r="H595" t="s">
        <v>53</v>
      </c>
      <c r="I595" t="s">
        <v>78</v>
      </c>
      <c r="J595" t="s">
        <v>736</v>
      </c>
      <c r="K595">
        <f t="shared" si="47"/>
        <v>1</v>
      </c>
      <c r="L595">
        <f t="shared" si="48"/>
        <v>0</v>
      </c>
      <c r="M595">
        <f t="shared" si="49"/>
        <v>1</v>
      </c>
    </row>
    <row r="596" spans="1:13">
      <c r="A596">
        <v>610</v>
      </c>
      <c r="B596" s="13">
        <v>42993</v>
      </c>
      <c r="C596">
        <f t="shared" si="45"/>
        <v>2017</v>
      </c>
      <c r="D596">
        <f t="shared" si="46"/>
        <v>9</v>
      </c>
      <c r="E596" t="s">
        <v>73</v>
      </c>
      <c r="F596" t="s">
        <v>102</v>
      </c>
      <c r="G596" s="14">
        <v>48480</v>
      </c>
      <c r="H596" t="s">
        <v>40</v>
      </c>
      <c r="I596" t="s">
        <v>45</v>
      </c>
      <c r="J596" t="s">
        <v>737</v>
      </c>
      <c r="K596">
        <f t="shared" si="47"/>
        <v>1</v>
      </c>
      <c r="L596">
        <f t="shared" si="48"/>
        <v>0</v>
      </c>
      <c r="M596">
        <f t="shared" si="49"/>
        <v>1</v>
      </c>
    </row>
    <row r="597" spans="1:13">
      <c r="A597">
        <v>89</v>
      </c>
      <c r="B597" s="13">
        <v>42995</v>
      </c>
      <c r="C597">
        <f t="shared" si="45"/>
        <v>2017</v>
      </c>
      <c r="D597">
        <f t="shared" si="46"/>
        <v>9</v>
      </c>
      <c r="E597" t="s">
        <v>63</v>
      </c>
      <c r="F597" t="s">
        <v>64</v>
      </c>
      <c r="G597" s="14">
        <v>78035</v>
      </c>
      <c r="H597" t="s">
        <v>81</v>
      </c>
      <c r="I597" t="s">
        <v>153</v>
      </c>
      <c r="J597" t="s">
        <v>738</v>
      </c>
      <c r="K597">
        <f t="shared" si="47"/>
        <v>1</v>
      </c>
      <c r="L597">
        <f t="shared" si="48"/>
        <v>0</v>
      </c>
      <c r="M597">
        <f t="shared" si="49"/>
        <v>1</v>
      </c>
    </row>
    <row r="598" spans="1:13">
      <c r="A598">
        <v>264</v>
      </c>
      <c r="B598" s="13">
        <v>42995</v>
      </c>
      <c r="C598">
        <f t="shared" si="45"/>
        <v>2017</v>
      </c>
      <c r="D598">
        <f t="shared" si="46"/>
        <v>9</v>
      </c>
      <c r="E598" t="s">
        <v>63</v>
      </c>
      <c r="F598" t="s">
        <v>179</v>
      </c>
      <c r="G598" s="14">
        <v>77612</v>
      </c>
      <c r="H598" t="s">
        <v>81</v>
      </c>
      <c r="I598" t="s">
        <v>153</v>
      </c>
      <c r="J598" t="s">
        <v>739</v>
      </c>
      <c r="K598">
        <f t="shared" si="47"/>
        <v>1</v>
      </c>
      <c r="L598">
        <f t="shared" si="48"/>
        <v>0</v>
      </c>
      <c r="M598">
        <f t="shared" si="49"/>
        <v>1</v>
      </c>
    </row>
    <row r="599" spans="1:13">
      <c r="A599">
        <v>605</v>
      </c>
      <c r="B599" s="13">
        <v>42995</v>
      </c>
      <c r="C599">
        <f t="shared" si="45"/>
        <v>2017</v>
      </c>
      <c r="D599">
        <f t="shared" si="46"/>
        <v>9</v>
      </c>
      <c r="E599" t="s">
        <v>43</v>
      </c>
      <c r="F599" t="s">
        <v>87</v>
      </c>
      <c r="G599" s="14">
        <v>40881</v>
      </c>
      <c r="H599" t="s">
        <v>57</v>
      </c>
      <c r="I599" t="s">
        <v>65</v>
      </c>
      <c r="J599" t="s">
        <v>740</v>
      </c>
      <c r="K599">
        <f t="shared" si="47"/>
        <v>1</v>
      </c>
      <c r="L599">
        <f t="shared" si="48"/>
        <v>0</v>
      </c>
      <c r="M599">
        <f t="shared" si="49"/>
        <v>1</v>
      </c>
    </row>
    <row r="600" spans="1:13">
      <c r="A600">
        <v>271</v>
      </c>
      <c r="B600" s="13">
        <v>42996</v>
      </c>
      <c r="C600">
        <f t="shared" si="45"/>
        <v>2017</v>
      </c>
      <c r="D600">
        <f t="shared" si="46"/>
        <v>9</v>
      </c>
      <c r="E600" t="s">
        <v>47</v>
      </c>
      <c r="F600" t="s">
        <v>52</v>
      </c>
      <c r="G600" s="14">
        <v>65398</v>
      </c>
      <c r="H600" t="s">
        <v>40</v>
      </c>
      <c r="I600" t="s">
        <v>100</v>
      </c>
      <c r="J600" t="s">
        <v>741</v>
      </c>
      <c r="K600">
        <f t="shared" si="47"/>
        <v>1</v>
      </c>
      <c r="L600">
        <f t="shared" si="48"/>
        <v>0</v>
      </c>
      <c r="M600">
        <f t="shared" si="49"/>
        <v>1</v>
      </c>
    </row>
    <row r="601" spans="1:13">
      <c r="A601">
        <v>114</v>
      </c>
      <c r="B601" s="13">
        <v>43000</v>
      </c>
      <c r="C601">
        <f t="shared" si="45"/>
        <v>2017</v>
      </c>
      <c r="D601">
        <f t="shared" si="46"/>
        <v>9</v>
      </c>
      <c r="E601" t="s">
        <v>73</v>
      </c>
      <c r="F601" t="s">
        <v>150</v>
      </c>
      <c r="G601" s="14">
        <v>76200</v>
      </c>
      <c r="H601" t="s">
        <v>57</v>
      </c>
      <c r="I601" t="s">
        <v>65</v>
      </c>
      <c r="J601" t="s">
        <v>742</v>
      </c>
      <c r="K601">
        <f t="shared" si="47"/>
        <v>1</v>
      </c>
      <c r="L601">
        <f t="shared" si="48"/>
        <v>0</v>
      </c>
      <c r="M601">
        <f t="shared" si="49"/>
        <v>1</v>
      </c>
    </row>
    <row r="602" spans="1:13">
      <c r="A602">
        <v>703</v>
      </c>
      <c r="B602" s="13">
        <v>43002</v>
      </c>
      <c r="C602">
        <f t="shared" si="45"/>
        <v>2017</v>
      </c>
      <c r="D602">
        <f t="shared" si="46"/>
        <v>9</v>
      </c>
      <c r="E602" t="s">
        <v>47</v>
      </c>
      <c r="F602" t="s">
        <v>116</v>
      </c>
      <c r="G602" s="14">
        <v>55957</v>
      </c>
      <c r="H602" t="s">
        <v>53</v>
      </c>
      <c r="I602" t="s">
        <v>78</v>
      </c>
      <c r="J602" t="s">
        <v>743</v>
      </c>
      <c r="K602">
        <f t="shared" si="47"/>
        <v>1</v>
      </c>
      <c r="L602">
        <f t="shared" si="48"/>
        <v>0</v>
      </c>
      <c r="M602">
        <f t="shared" si="49"/>
        <v>1</v>
      </c>
    </row>
    <row r="603" spans="1:13">
      <c r="A603">
        <v>923</v>
      </c>
      <c r="B603" s="13">
        <v>43003</v>
      </c>
      <c r="C603">
        <f t="shared" si="45"/>
        <v>2017</v>
      </c>
      <c r="D603">
        <f t="shared" si="46"/>
        <v>9</v>
      </c>
      <c r="E603" t="s">
        <v>76</v>
      </c>
      <c r="F603" t="s">
        <v>138</v>
      </c>
      <c r="G603" s="14">
        <v>68220</v>
      </c>
      <c r="H603" t="s">
        <v>53</v>
      </c>
      <c r="I603" t="s">
        <v>68</v>
      </c>
      <c r="J603" t="s">
        <v>744</v>
      </c>
      <c r="K603">
        <f t="shared" si="47"/>
        <v>1</v>
      </c>
      <c r="L603">
        <f t="shared" si="48"/>
        <v>0</v>
      </c>
      <c r="M603">
        <f t="shared" si="49"/>
        <v>1</v>
      </c>
    </row>
    <row r="604" spans="1:13">
      <c r="A604">
        <v>783</v>
      </c>
      <c r="B604" s="13">
        <v>43008</v>
      </c>
      <c r="C604">
        <f t="shared" si="45"/>
        <v>2017</v>
      </c>
      <c r="D604">
        <f t="shared" si="46"/>
        <v>9</v>
      </c>
      <c r="E604" t="s">
        <v>38</v>
      </c>
      <c r="F604" t="s">
        <v>39</v>
      </c>
      <c r="G604" s="14">
        <v>47154</v>
      </c>
      <c r="H604" t="s">
        <v>49</v>
      </c>
      <c r="I604" t="s">
        <v>50</v>
      </c>
      <c r="J604" t="s">
        <v>745</v>
      </c>
      <c r="K604">
        <f t="shared" si="47"/>
        <v>1</v>
      </c>
      <c r="L604">
        <f t="shared" si="48"/>
        <v>0</v>
      </c>
      <c r="M604">
        <f t="shared" si="49"/>
        <v>1</v>
      </c>
    </row>
    <row r="605" spans="1:13">
      <c r="A605">
        <v>277</v>
      </c>
      <c r="B605" s="13">
        <v>43012</v>
      </c>
      <c r="C605">
        <f t="shared" si="45"/>
        <v>2017</v>
      </c>
      <c r="D605">
        <f t="shared" si="46"/>
        <v>10</v>
      </c>
      <c r="E605" t="s">
        <v>76</v>
      </c>
      <c r="F605" t="s">
        <v>110</v>
      </c>
      <c r="G605" s="14">
        <v>53652</v>
      </c>
      <c r="H605" t="s">
        <v>60</v>
      </c>
      <c r="I605" t="s">
        <v>188</v>
      </c>
      <c r="J605" t="s">
        <v>746</v>
      </c>
      <c r="K605">
        <f t="shared" si="47"/>
        <v>1</v>
      </c>
      <c r="L605">
        <f t="shared" si="48"/>
        <v>0</v>
      </c>
      <c r="M605">
        <f t="shared" si="49"/>
        <v>1</v>
      </c>
    </row>
    <row r="606" spans="1:13">
      <c r="A606">
        <v>600</v>
      </c>
      <c r="B606" s="13">
        <v>43014</v>
      </c>
      <c r="C606">
        <f t="shared" si="45"/>
        <v>2017</v>
      </c>
      <c r="D606">
        <f t="shared" si="46"/>
        <v>10</v>
      </c>
      <c r="E606" t="s">
        <v>76</v>
      </c>
      <c r="F606" t="s">
        <v>77</v>
      </c>
      <c r="G606" s="14">
        <v>59769</v>
      </c>
      <c r="H606" t="s">
        <v>53</v>
      </c>
      <c r="I606" t="s">
        <v>68</v>
      </c>
      <c r="J606" t="s">
        <v>747</v>
      </c>
      <c r="K606">
        <f t="shared" si="47"/>
        <v>1</v>
      </c>
      <c r="L606">
        <f t="shared" si="48"/>
        <v>0</v>
      </c>
      <c r="M606">
        <f t="shared" si="49"/>
        <v>1</v>
      </c>
    </row>
    <row r="607" spans="1:13">
      <c r="A607">
        <v>623</v>
      </c>
      <c r="B607" s="13">
        <v>43015</v>
      </c>
      <c r="C607">
        <f t="shared" si="45"/>
        <v>2017</v>
      </c>
      <c r="D607">
        <f t="shared" si="46"/>
        <v>10</v>
      </c>
      <c r="E607" t="s">
        <v>47</v>
      </c>
      <c r="F607" t="s">
        <v>155</v>
      </c>
      <c r="G607" s="14">
        <v>62716</v>
      </c>
      <c r="H607" t="s">
        <v>53</v>
      </c>
      <c r="I607" t="s">
        <v>68</v>
      </c>
      <c r="J607" t="s">
        <v>748</v>
      </c>
      <c r="K607">
        <f t="shared" si="47"/>
        <v>1</v>
      </c>
      <c r="L607">
        <f t="shared" si="48"/>
        <v>0</v>
      </c>
      <c r="M607">
        <f t="shared" si="49"/>
        <v>1</v>
      </c>
    </row>
    <row r="608" spans="1:13">
      <c r="A608">
        <v>788</v>
      </c>
      <c r="B608" s="13">
        <v>43015</v>
      </c>
      <c r="C608">
        <f t="shared" si="45"/>
        <v>2017</v>
      </c>
      <c r="D608">
        <f t="shared" si="46"/>
        <v>10</v>
      </c>
      <c r="E608" t="s">
        <v>47</v>
      </c>
      <c r="F608" t="s">
        <v>132</v>
      </c>
      <c r="G608" s="14">
        <v>40760</v>
      </c>
      <c r="H608" t="s">
        <v>53</v>
      </c>
      <c r="I608" t="s">
        <v>54</v>
      </c>
      <c r="J608" t="s">
        <v>749</v>
      </c>
      <c r="K608">
        <f t="shared" si="47"/>
        <v>1</v>
      </c>
      <c r="L608">
        <f t="shared" si="48"/>
        <v>0</v>
      </c>
      <c r="M608">
        <f t="shared" si="49"/>
        <v>1</v>
      </c>
    </row>
    <row r="609" spans="1:13">
      <c r="A609">
        <v>344</v>
      </c>
      <c r="B609" s="13">
        <v>43017</v>
      </c>
      <c r="C609">
        <f t="shared" si="45"/>
        <v>2017</v>
      </c>
      <c r="D609">
        <f t="shared" si="46"/>
        <v>10</v>
      </c>
      <c r="E609" t="s">
        <v>73</v>
      </c>
      <c r="F609" t="s">
        <v>119</v>
      </c>
      <c r="G609" s="14">
        <v>60492</v>
      </c>
      <c r="H609" t="s">
        <v>40</v>
      </c>
      <c r="I609" t="s">
        <v>144</v>
      </c>
      <c r="J609" t="s">
        <v>750</v>
      </c>
      <c r="K609">
        <f t="shared" si="47"/>
        <v>1</v>
      </c>
      <c r="L609">
        <f t="shared" si="48"/>
        <v>0</v>
      </c>
      <c r="M609">
        <f t="shared" si="49"/>
        <v>1</v>
      </c>
    </row>
    <row r="610" spans="1:13">
      <c r="A610">
        <v>649</v>
      </c>
      <c r="B610" s="13">
        <v>43019</v>
      </c>
      <c r="C610">
        <f t="shared" si="45"/>
        <v>2017</v>
      </c>
      <c r="D610">
        <f t="shared" si="46"/>
        <v>10</v>
      </c>
      <c r="E610" t="s">
        <v>73</v>
      </c>
      <c r="F610" t="s">
        <v>140</v>
      </c>
      <c r="G610" s="14">
        <v>53093</v>
      </c>
      <c r="H610" t="s">
        <v>60</v>
      </c>
      <c r="I610" t="s">
        <v>199</v>
      </c>
      <c r="J610" t="s">
        <v>751</v>
      </c>
      <c r="K610">
        <f t="shared" si="47"/>
        <v>1</v>
      </c>
      <c r="L610">
        <f t="shared" si="48"/>
        <v>0</v>
      </c>
      <c r="M610">
        <f t="shared" si="49"/>
        <v>1</v>
      </c>
    </row>
    <row r="611" spans="1:13">
      <c r="A611">
        <v>922</v>
      </c>
      <c r="B611" s="13">
        <v>43019</v>
      </c>
      <c r="C611">
        <f t="shared" si="45"/>
        <v>2017</v>
      </c>
      <c r="D611">
        <f t="shared" si="46"/>
        <v>10</v>
      </c>
      <c r="E611" t="s">
        <v>43</v>
      </c>
      <c r="F611" t="s">
        <v>134</v>
      </c>
      <c r="G611" s="14">
        <v>59700</v>
      </c>
      <c r="H611" t="s">
        <v>40</v>
      </c>
      <c r="I611" t="s">
        <v>98</v>
      </c>
      <c r="J611" t="s">
        <v>752</v>
      </c>
      <c r="K611">
        <f t="shared" si="47"/>
        <v>1</v>
      </c>
      <c r="L611">
        <f t="shared" si="48"/>
        <v>0</v>
      </c>
      <c r="M611">
        <f t="shared" si="49"/>
        <v>1</v>
      </c>
    </row>
    <row r="612" spans="1:13">
      <c r="A612">
        <v>406</v>
      </c>
      <c r="B612" s="13">
        <v>43023</v>
      </c>
      <c r="C612">
        <f t="shared" si="45"/>
        <v>2017</v>
      </c>
      <c r="D612">
        <f t="shared" si="46"/>
        <v>10</v>
      </c>
      <c r="E612" t="s">
        <v>73</v>
      </c>
      <c r="F612" t="s">
        <v>223</v>
      </c>
      <c r="G612" s="14">
        <v>57379</v>
      </c>
      <c r="H612" t="s">
        <v>60</v>
      </c>
      <c r="I612" t="s">
        <v>71</v>
      </c>
      <c r="J612" t="s">
        <v>753</v>
      </c>
      <c r="K612">
        <f t="shared" si="47"/>
        <v>1</v>
      </c>
      <c r="L612">
        <f t="shared" si="48"/>
        <v>0</v>
      </c>
      <c r="M612">
        <f t="shared" si="49"/>
        <v>1</v>
      </c>
    </row>
    <row r="613" spans="1:13">
      <c r="A613">
        <v>310</v>
      </c>
      <c r="B613" s="13">
        <v>43024</v>
      </c>
      <c r="C613">
        <f t="shared" si="45"/>
        <v>2017</v>
      </c>
      <c r="D613">
        <f t="shared" si="46"/>
        <v>10</v>
      </c>
      <c r="E613" t="s">
        <v>76</v>
      </c>
      <c r="F613" t="s">
        <v>138</v>
      </c>
      <c r="G613" s="14">
        <v>74607</v>
      </c>
      <c r="H613" t="s">
        <v>81</v>
      </c>
      <c r="I613" t="s">
        <v>82</v>
      </c>
      <c r="J613" t="s">
        <v>754</v>
      </c>
      <c r="K613">
        <f t="shared" si="47"/>
        <v>1</v>
      </c>
      <c r="L613">
        <f t="shared" si="48"/>
        <v>0</v>
      </c>
      <c r="M613">
        <f t="shared" si="49"/>
        <v>1</v>
      </c>
    </row>
    <row r="614" spans="1:13">
      <c r="A614">
        <v>247</v>
      </c>
      <c r="B614" s="13">
        <v>43029</v>
      </c>
      <c r="C614">
        <f t="shared" si="45"/>
        <v>2017</v>
      </c>
      <c r="D614">
        <f t="shared" si="46"/>
        <v>10</v>
      </c>
      <c r="E614" t="s">
        <v>38</v>
      </c>
      <c r="F614" t="s">
        <v>39</v>
      </c>
      <c r="G614" s="14">
        <v>67061</v>
      </c>
      <c r="H614" t="s">
        <v>81</v>
      </c>
      <c r="I614" t="s">
        <v>108</v>
      </c>
      <c r="J614" t="s">
        <v>755</v>
      </c>
      <c r="K614">
        <f t="shared" si="47"/>
        <v>1</v>
      </c>
      <c r="L614">
        <f t="shared" si="48"/>
        <v>0</v>
      </c>
      <c r="M614">
        <f t="shared" si="49"/>
        <v>1</v>
      </c>
    </row>
    <row r="615" spans="1:13">
      <c r="A615">
        <v>248</v>
      </c>
      <c r="B615" s="13">
        <v>43031</v>
      </c>
      <c r="C615">
        <f t="shared" si="45"/>
        <v>2017</v>
      </c>
      <c r="D615">
        <f t="shared" si="46"/>
        <v>10</v>
      </c>
      <c r="E615" t="s">
        <v>73</v>
      </c>
      <c r="F615" t="s">
        <v>223</v>
      </c>
      <c r="G615" s="14">
        <v>75906</v>
      </c>
      <c r="H615" t="s">
        <v>53</v>
      </c>
      <c r="I615" t="s">
        <v>68</v>
      </c>
      <c r="J615" t="s">
        <v>756</v>
      </c>
      <c r="K615">
        <f t="shared" si="47"/>
        <v>1</v>
      </c>
      <c r="L615">
        <f t="shared" si="48"/>
        <v>0</v>
      </c>
      <c r="M615">
        <f t="shared" si="49"/>
        <v>1</v>
      </c>
    </row>
    <row r="616" spans="1:13">
      <c r="A616">
        <v>50</v>
      </c>
      <c r="B616" s="13">
        <v>43034</v>
      </c>
      <c r="C616">
        <f t="shared" si="45"/>
        <v>2017</v>
      </c>
      <c r="D616">
        <f t="shared" si="46"/>
        <v>10</v>
      </c>
      <c r="E616" t="s">
        <v>94</v>
      </c>
      <c r="F616" t="s">
        <v>95</v>
      </c>
      <c r="G616" s="14">
        <v>60254</v>
      </c>
      <c r="H616" t="s">
        <v>57</v>
      </c>
      <c r="I616" t="s">
        <v>65</v>
      </c>
      <c r="J616" t="s">
        <v>757</v>
      </c>
      <c r="K616">
        <f t="shared" si="47"/>
        <v>1</v>
      </c>
      <c r="L616">
        <f t="shared" si="48"/>
        <v>0</v>
      </c>
      <c r="M616">
        <f t="shared" si="49"/>
        <v>1</v>
      </c>
    </row>
    <row r="617" spans="1:13">
      <c r="A617">
        <v>847</v>
      </c>
      <c r="B617" s="13">
        <v>43037</v>
      </c>
      <c r="C617">
        <f t="shared" si="45"/>
        <v>2017</v>
      </c>
      <c r="D617">
        <f t="shared" si="46"/>
        <v>10</v>
      </c>
      <c r="E617" t="s">
        <v>47</v>
      </c>
      <c r="F617" t="s">
        <v>132</v>
      </c>
      <c r="G617" s="14">
        <v>54809</v>
      </c>
      <c r="H617" t="s">
        <v>49</v>
      </c>
      <c r="I617" t="s">
        <v>50</v>
      </c>
      <c r="J617" t="s">
        <v>758</v>
      </c>
      <c r="K617">
        <f t="shared" si="47"/>
        <v>1</v>
      </c>
      <c r="L617">
        <f t="shared" si="48"/>
        <v>0</v>
      </c>
      <c r="M617">
        <f t="shared" si="49"/>
        <v>1</v>
      </c>
    </row>
    <row r="618" spans="1:13">
      <c r="A618">
        <v>856</v>
      </c>
      <c r="B618" s="13">
        <v>43038</v>
      </c>
      <c r="C618">
        <f t="shared" si="45"/>
        <v>2017</v>
      </c>
      <c r="D618">
        <f t="shared" si="46"/>
        <v>10</v>
      </c>
      <c r="E618" t="s">
        <v>73</v>
      </c>
      <c r="F618" t="s">
        <v>119</v>
      </c>
      <c r="G618" s="14">
        <v>69565</v>
      </c>
      <c r="H618" t="s">
        <v>60</v>
      </c>
      <c r="I618" t="s">
        <v>71</v>
      </c>
      <c r="J618" t="s">
        <v>759</v>
      </c>
      <c r="K618">
        <f t="shared" si="47"/>
        <v>1</v>
      </c>
      <c r="L618">
        <f t="shared" si="48"/>
        <v>0</v>
      </c>
      <c r="M618">
        <f t="shared" si="49"/>
        <v>1</v>
      </c>
    </row>
    <row r="619" spans="1:13">
      <c r="A619">
        <v>21</v>
      </c>
      <c r="B619" s="13">
        <v>43041</v>
      </c>
      <c r="C619">
        <f t="shared" si="45"/>
        <v>2017</v>
      </c>
      <c r="D619">
        <f t="shared" si="46"/>
        <v>11</v>
      </c>
      <c r="E619" t="s">
        <v>76</v>
      </c>
      <c r="F619" t="s">
        <v>77</v>
      </c>
      <c r="G619" s="14">
        <v>53299</v>
      </c>
      <c r="H619" t="s">
        <v>40</v>
      </c>
      <c r="I619" t="s">
        <v>144</v>
      </c>
      <c r="J619" t="s">
        <v>760</v>
      </c>
      <c r="K619">
        <f t="shared" si="47"/>
        <v>1</v>
      </c>
      <c r="L619">
        <f t="shared" si="48"/>
        <v>0</v>
      </c>
      <c r="M619">
        <f t="shared" si="49"/>
        <v>1</v>
      </c>
    </row>
    <row r="620" spans="1:13">
      <c r="A620">
        <v>24</v>
      </c>
      <c r="B620" s="13">
        <v>43041</v>
      </c>
      <c r="C620">
        <f t="shared" si="45"/>
        <v>2017</v>
      </c>
      <c r="D620">
        <f t="shared" si="46"/>
        <v>11</v>
      </c>
      <c r="E620" t="s">
        <v>47</v>
      </c>
      <c r="F620" t="s">
        <v>52</v>
      </c>
      <c r="G620" s="14">
        <v>49362</v>
      </c>
      <c r="H620" t="s">
        <v>49</v>
      </c>
      <c r="I620" t="s">
        <v>151</v>
      </c>
      <c r="J620" t="s">
        <v>761</v>
      </c>
      <c r="K620">
        <f t="shared" si="47"/>
        <v>1</v>
      </c>
      <c r="L620">
        <f t="shared" si="48"/>
        <v>0</v>
      </c>
      <c r="M620">
        <f t="shared" si="49"/>
        <v>1</v>
      </c>
    </row>
    <row r="621" spans="1:13">
      <c r="A621">
        <v>450</v>
      </c>
      <c r="B621" s="13">
        <v>43041</v>
      </c>
      <c r="C621">
        <f t="shared" si="45"/>
        <v>2017</v>
      </c>
      <c r="D621">
        <f t="shared" si="46"/>
        <v>11</v>
      </c>
      <c r="E621" t="s">
        <v>73</v>
      </c>
      <c r="F621" t="s">
        <v>74</v>
      </c>
      <c r="G621" s="14">
        <v>69840</v>
      </c>
      <c r="H621" t="s">
        <v>49</v>
      </c>
      <c r="I621" t="s">
        <v>122</v>
      </c>
      <c r="J621" t="s">
        <v>762</v>
      </c>
      <c r="K621">
        <f t="shared" si="47"/>
        <v>1</v>
      </c>
      <c r="L621">
        <f t="shared" si="48"/>
        <v>0</v>
      </c>
      <c r="M621">
        <f t="shared" si="49"/>
        <v>1</v>
      </c>
    </row>
    <row r="622" spans="1:13">
      <c r="A622">
        <v>312</v>
      </c>
      <c r="B622" s="13">
        <v>43042</v>
      </c>
      <c r="C622">
        <f t="shared" si="45"/>
        <v>2017</v>
      </c>
      <c r="D622">
        <f t="shared" si="46"/>
        <v>11</v>
      </c>
      <c r="E622" t="s">
        <v>43</v>
      </c>
      <c r="F622" t="s">
        <v>70</v>
      </c>
      <c r="G622" s="14">
        <v>48937</v>
      </c>
      <c r="H622" t="s">
        <v>40</v>
      </c>
      <c r="I622" t="s">
        <v>98</v>
      </c>
      <c r="J622" t="s">
        <v>763</v>
      </c>
      <c r="K622">
        <f t="shared" si="47"/>
        <v>1</v>
      </c>
      <c r="L622">
        <f t="shared" si="48"/>
        <v>0</v>
      </c>
      <c r="M622">
        <f t="shared" si="49"/>
        <v>1</v>
      </c>
    </row>
    <row r="623" spans="1:13">
      <c r="A623">
        <v>899</v>
      </c>
      <c r="B623" s="13">
        <v>43044</v>
      </c>
      <c r="C623">
        <f t="shared" si="45"/>
        <v>2017</v>
      </c>
      <c r="D623">
        <f t="shared" si="46"/>
        <v>11</v>
      </c>
      <c r="E623" t="s">
        <v>73</v>
      </c>
      <c r="F623" t="s">
        <v>223</v>
      </c>
      <c r="G623" s="14">
        <v>56239</v>
      </c>
      <c r="H623" t="s">
        <v>40</v>
      </c>
      <c r="I623" t="s">
        <v>45</v>
      </c>
      <c r="J623" t="s">
        <v>764</v>
      </c>
      <c r="K623">
        <f t="shared" si="47"/>
        <v>1</v>
      </c>
      <c r="L623">
        <f t="shared" si="48"/>
        <v>0</v>
      </c>
      <c r="M623">
        <f t="shared" si="49"/>
        <v>1</v>
      </c>
    </row>
    <row r="624" spans="1:13">
      <c r="A624">
        <v>631</v>
      </c>
      <c r="B624" s="13">
        <v>43045</v>
      </c>
      <c r="C624">
        <f t="shared" si="45"/>
        <v>2017</v>
      </c>
      <c r="D624">
        <f t="shared" si="46"/>
        <v>11</v>
      </c>
      <c r="E624" t="s">
        <v>38</v>
      </c>
      <c r="F624" t="s">
        <v>56</v>
      </c>
      <c r="G624" s="14">
        <v>57815</v>
      </c>
      <c r="H624" t="s">
        <v>57</v>
      </c>
      <c r="I624" t="s">
        <v>65</v>
      </c>
      <c r="J624" t="s">
        <v>765</v>
      </c>
      <c r="K624">
        <f t="shared" si="47"/>
        <v>1</v>
      </c>
      <c r="L624">
        <f t="shared" si="48"/>
        <v>0</v>
      </c>
      <c r="M624">
        <f t="shared" si="49"/>
        <v>1</v>
      </c>
    </row>
    <row r="625" spans="1:13">
      <c r="A625">
        <v>805</v>
      </c>
      <c r="B625" s="13">
        <v>43046</v>
      </c>
      <c r="C625">
        <f t="shared" si="45"/>
        <v>2017</v>
      </c>
      <c r="D625">
        <f t="shared" si="46"/>
        <v>11</v>
      </c>
      <c r="E625" t="s">
        <v>94</v>
      </c>
      <c r="F625" t="s">
        <v>192</v>
      </c>
      <c r="G625" s="14">
        <v>75131</v>
      </c>
      <c r="H625" t="s">
        <v>53</v>
      </c>
      <c r="I625" t="s">
        <v>68</v>
      </c>
      <c r="J625" t="s">
        <v>766</v>
      </c>
      <c r="K625">
        <f t="shared" si="47"/>
        <v>1</v>
      </c>
      <c r="L625">
        <f t="shared" si="48"/>
        <v>0</v>
      </c>
      <c r="M625">
        <f t="shared" si="49"/>
        <v>1</v>
      </c>
    </row>
    <row r="626" spans="1:13">
      <c r="A626">
        <v>869</v>
      </c>
      <c r="B626" s="13">
        <v>43046</v>
      </c>
      <c r="C626">
        <f t="shared" si="45"/>
        <v>2017</v>
      </c>
      <c r="D626">
        <f t="shared" si="46"/>
        <v>11</v>
      </c>
      <c r="E626" t="s">
        <v>38</v>
      </c>
      <c r="F626" t="s">
        <v>126</v>
      </c>
      <c r="G626" s="14">
        <v>62950</v>
      </c>
      <c r="H626" t="s">
        <v>49</v>
      </c>
      <c r="I626" t="s">
        <v>50</v>
      </c>
      <c r="J626" t="s">
        <v>767</v>
      </c>
      <c r="K626">
        <f t="shared" si="47"/>
        <v>1</v>
      </c>
      <c r="L626">
        <f t="shared" si="48"/>
        <v>0</v>
      </c>
      <c r="M626">
        <f t="shared" si="49"/>
        <v>1</v>
      </c>
    </row>
    <row r="627" spans="1:13">
      <c r="A627">
        <v>613</v>
      </c>
      <c r="B627" s="13">
        <v>43048</v>
      </c>
      <c r="C627">
        <f t="shared" si="45"/>
        <v>2017</v>
      </c>
      <c r="D627">
        <f t="shared" si="46"/>
        <v>11</v>
      </c>
      <c r="E627" t="s">
        <v>73</v>
      </c>
      <c r="F627" t="s">
        <v>119</v>
      </c>
      <c r="G627" s="14">
        <v>66279</v>
      </c>
      <c r="H627" t="s">
        <v>60</v>
      </c>
      <c r="I627" t="s">
        <v>71</v>
      </c>
      <c r="J627" t="s">
        <v>768</v>
      </c>
      <c r="K627">
        <f t="shared" si="47"/>
        <v>1</v>
      </c>
      <c r="L627">
        <f t="shared" si="48"/>
        <v>0</v>
      </c>
      <c r="M627">
        <f t="shared" si="49"/>
        <v>1</v>
      </c>
    </row>
    <row r="628" spans="1:13">
      <c r="A628">
        <v>482</v>
      </c>
      <c r="B628" s="13">
        <v>43050</v>
      </c>
      <c r="C628">
        <f t="shared" si="45"/>
        <v>2017</v>
      </c>
      <c r="D628">
        <f t="shared" si="46"/>
        <v>11</v>
      </c>
      <c r="E628" t="s">
        <v>76</v>
      </c>
      <c r="F628" t="s">
        <v>216</v>
      </c>
      <c r="G628" s="14">
        <v>65399.93</v>
      </c>
      <c r="H628" t="s">
        <v>81</v>
      </c>
      <c r="I628" t="s">
        <v>108</v>
      </c>
      <c r="J628" t="s">
        <v>769</v>
      </c>
      <c r="K628">
        <f t="shared" si="47"/>
        <v>1</v>
      </c>
      <c r="L628">
        <f t="shared" si="48"/>
        <v>0</v>
      </c>
      <c r="M628">
        <f t="shared" si="49"/>
        <v>1</v>
      </c>
    </row>
    <row r="629" spans="1:13">
      <c r="A629">
        <v>849</v>
      </c>
      <c r="B629" s="13">
        <v>43050</v>
      </c>
      <c r="C629">
        <f t="shared" si="45"/>
        <v>2017</v>
      </c>
      <c r="D629">
        <f t="shared" si="46"/>
        <v>11</v>
      </c>
      <c r="E629" t="s">
        <v>38</v>
      </c>
      <c r="F629" t="s">
        <v>80</v>
      </c>
      <c r="G629" s="14">
        <v>70072</v>
      </c>
      <c r="H629" t="s">
        <v>40</v>
      </c>
      <c r="I629" t="s">
        <v>45</v>
      </c>
      <c r="J629" t="s">
        <v>770</v>
      </c>
      <c r="K629">
        <f t="shared" si="47"/>
        <v>1</v>
      </c>
      <c r="L629">
        <f t="shared" si="48"/>
        <v>0</v>
      </c>
      <c r="M629">
        <f t="shared" si="49"/>
        <v>1</v>
      </c>
    </row>
    <row r="630" spans="1:13">
      <c r="A630">
        <v>181</v>
      </c>
      <c r="B630" s="13">
        <v>43054</v>
      </c>
      <c r="C630">
        <f t="shared" si="45"/>
        <v>2017</v>
      </c>
      <c r="D630">
        <f t="shared" si="46"/>
        <v>11</v>
      </c>
      <c r="E630" t="s">
        <v>38</v>
      </c>
      <c r="F630" t="s">
        <v>56</v>
      </c>
      <c r="G630" s="14">
        <v>58309</v>
      </c>
      <c r="H630" t="s">
        <v>81</v>
      </c>
      <c r="I630" t="s">
        <v>108</v>
      </c>
      <c r="J630" t="s">
        <v>771</v>
      </c>
      <c r="K630">
        <f t="shared" si="47"/>
        <v>1</v>
      </c>
      <c r="L630">
        <f t="shared" si="48"/>
        <v>0</v>
      </c>
      <c r="M630">
        <f t="shared" si="49"/>
        <v>1</v>
      </c>
    </row>
    <row r="631" spans="1:13">
      <c r="A631">
        <v>521</v>
      </c>
      <c r="B631" s="13">
        <v>43058</v>
      </c>
      <c r="C631">
        <f t="shared" si="45"/>
        <v>2017</v>
      </c>
      <c r="D631">
        <f t="shared" si="46"/>
        <v>11</v>
      </c>
      <c r="E631" t="s">
        <v>47</v>
      </c>
      <c r="F631" t="s">
        <v>48</v>
      </c>
      <c r="G631" s="14">
        <v>68185</v>
      </c>
      <c r="H631" t="s">
        <v>57</v>
      </c>
      <c r="I631" t="s">
        <v>106</v>
      </c>
      <c r="J631" t="s">
        <v>772</v>
      </c>
      <c r="K631">
        <f t="shared" si="47"/>
        <v>1</v>
      </c>
      <c r="L631">
        <f t="shared" si="48"/>
        <v>0</v>
      </c>
      <c r="M631">
        <f t="shared" si="49"/>
        <v>1</v>
      </c>
    </row>
    <row r="632" spans="1:13">
      <c r="A632">
        <v>554</v>
      </c>
      <c r="B632" s="13">
        <v>43058</v>
      </c>
      <c r="C632">
        <f t="shared" si="45"/>
        <v>2017</v>
      </c>
      <c r="D632">
        <f t="shared" si="46"/>
        <v>11</v>
      </c>
      <c r="E632" t="s">
        <v>43</v>
      </c>
      <c r="F632" t="s">
        <v>380</v>
      </c>
      <c r="G632" s="14">
        <v>48383</v>
      </c>
      <c r="H632" t="s">
        <v>53</v>
      </c>
      <c r="I632" t="s">
        <v>54</v>
      </c>
      <c r="J632" t="s">
        <v>773</v>
      </c>
      <c r="K632">
        <f t="shared" si="47"/>
        <v>1</v>
      </c>
      <c r="L632">
        <f t="shared" si="48"/>
        <v>0</v>
      </c>
      <c r="M632">
        <f t="shared" si="49"/>
        <v>1</v>
      </c>
    </row>
    <row r="633" spans="1:13">
      <c r="A633">
        <v>28</v>
      </c>
      <c r="B633" s="13">
        <v>43060</v>
      </c>
      <c r="C633">
        <f t="shared" si="45"/>
        <v>2017</v>
      </c>
      <c r="D633">
        <f t="shared" si="46"/>
        <v>11</v>
      </c>
      <c r="E633" t="s">
        <v>73</v>
      </c>
      <c r="F633" t="s">
        <v>119</v>
      </c>
      <c r="G633" s="14">
        <v>64141</v>
      </c>
      <c r="H633" t="s">
        <v>49</v>
      </c>
      <c r="I633" t="s">
        <v>151</v>
      </c>
      <c r="J633" t="s">
        <v>774</v>
      </c>
      <c r="K633">
        <f t="shared" si="47"/>
        <v>1</v>
      </c>
      <c r="L633">
        <f t="shared" si="48"/>
        <v>0</v>
      </c>
      <c r="M633">
        <f t="shared" si="49"/>
        <v>1</v>
      </c>
    </row>
    <row r="634" spans="1:13">
      <c r="A634">
        <v>318</v>
      </c>
      <c r="B634" s="13">
        <v>43068</v>
      </c>
      <c r="C634">
        <f t="shared" si="45"/>
        <v>2017</v>
      </c>
      <c r="D634">
        <f t="shared" si="46"/>
        <v>11</v>
      </c>
      <c r="E634" t="s">
        <v>38</v>
      </c>
      <c r="F634" t="s">
        <v>112</v>
      </c>
      <c r="G634" s="14">
        <v>44737</v>
      </c>
      <c r="H634" t="s">
        <v>81</v>
      </c>
      <c r="I634" t="s">
        <v>82</v>
      </c>
      <c r="J634" t="s">
        <v>775</v>
      </c>
      <c r="K634">
        <f t="shared" si="47"/>
        <v>1</v>
      </c>
      <c r="L634">
        <f t="shared" si="48"/>
        <v>0</v>
      </c>
      <c r="M634">
        <f t="shared" si="49"/>
        <v>1</v>
      </c>
    </row>
    <row r="635" spans="1:13">
      <c r="A635">
        <v>653</v>
      </c>
      <c r="B635" s="13">
        <v>43071</v>
      </c>
      <c r="C635">
        <f t="shared" si="45"/>
        <v>2017</v>
      </c>
      <c r="D635">
        <f t="shared" si="46"/>
        <v>12</v>
      </c>
      <c r="E635" t="s">
        <v>47</v>
      </c>
      <c r="F635" t="s">
        <v>155</v>
      </c>
      <c r="G635" s="14">
        <v>47829</v>
      </c>
      <c r="H635" t="s">
        <v>53</v>
      </c>
      <c r="I635" t="s">
        <v>78</v>
      </c>
      <c r="J635" t="s">
        <v>776</v>
      </c>
      <c r="K635">
        <f t="shared" si="47"/>
        <v>1</v>
      </c>
      <c r="L635">
        <f t="shared" si="48"/>
        <v>0</v>
      </c>
      <c r="M635">
        <f t="shared" si="49"/>
        <v>1</v>
      </c>
    </row>
    <row r="636" spans="1:13">
      <c r="A636">
        <v>737</v>
      </c>
      <c r="B636" s="13">
        <v>43072</v>
      </c>
      <c r="C636">
        <f t="shared" si="45"/>
        <v>2017</v>
      </c>
      <c r="D636">
        <f t="shared" si="46"/>
        <v>12</v>
      </c>
      <c r="E636" t="s">
        <v>47</v>
      </c>
      <c r="F636" t="s">
        <v>52</v>
      </c>
      <c r="G636" s="14">
        <v>79079</v>
      </c>
      <c r="H636" t="s">
        <v>57</v>
      </c>
      <c r="I636" t="s">
        <v>231</v>
      </c>
      <c r="J636" t="s">
        <v>777</v>
      </c>
      <c r="K636">
        <f t="shared" si="47"/>
        <v>1</v>
      </c>
      <c r="L636">
        <f t="shared" si="48"/>
        <v>0</v>
      </c>
      <c r="M636">
        <f t="shared" si="49"/>
        <v>1</v>
      </c>
    </row>
    <row r="637" spans="1:13">
      <c r="A637">
        <v>590</v>
      </c>
      <c r="B637" s="13">
        <v>43074</v>
      </c>
      <c r="C637">
        <f t="shared" si="45"/>
        <v>2017</v>
      </c>
      <c r="D637">
        <f t="shared" si="46"/>
        <v>12</v>
      </c>
      <c r="E637" t="s">
        <v>43</v>
      </c>
      <c r="F637" t="s">
        <v>44</v>
      </c>
      <c r="G637" s="14">
        <v>63883</v>
      </c>
      <c r="H637" t="s">
        <v>40</v>
      </c>
      <c r="I637" t="s">
        <v>45</v>
      </c>
      <c r="J637" t="s">
        <v>778</v>
      </c>
      <c r="K637">
        <f t="shared" si="47"/>
        <v>1</v>
      </c>
      <c r="L637">
        <f t="shared" si="48"/>
        <v>0</v>
      </c>
      <c r="M637">
        <f t="shared" si="49"/>
        <v>1</v>
      </c>
    </row>
    <row r="638" spans="1:13">
      <c r="A638">
        <v>750</v>
      </c>
      <c r="B638" s="13">
        <v>43076</v>
      </c>
      <c r="C638">
        <f t="shared" si="45"/>
        <v>2017</v>
      </c>
      <c r="D638">
        <f t="shared" si="46"/>
        <v>12</v>
      </c>
      <c r="E638" t="s">
        <v>38</v>
      </c>
      <c r="F638" t="s">
        <v>80</v>
      </c>
      <c r="G638" s="14">
        <v>44493</v>
      </c>
      <c r="H638" t="s">
        <v>60</v>
      </c>
      <c r="I638" t="s">
        <v>188</v>
      </c>
      <c r="J638" t="s">
        <v>779</v>
      </c>
      <c r="K638">
        <f t="shared" si="47"/>
        <v>1</v>
      </c>
      <c r="L638">
        <f t="shared" si="48"/>
        <v>0</v>
      </c>
      <c r="M638">
        <f t="shared" si="49"/>
        <v>1</v>
      </c>
    </row>
    <row r="639" spans="1:13">
      <c r="A639">
        <v>142</v>
      </c>
      <c r="B639" s="13">
        <v>43080</v>
      </c>
      <c r="C639">
        <f t="shared" si="45"/>
        <v>2017</v>
      </c>
      <c r="D639">
        <f t="shared" si="46"/>
        <v>12</v>
      </c>
      <c r="E639" t="s">
        <v>73</v>
      </c>
      <c r="F639" t="s">
        <v>102</v>
      </c>
      <c r="G639" s="14">
        <v>64129</v>
      </c>
      <c r="H639" t="s">
        <v>53</v>
      </c>
      <c r="I639" t="s">
        <v>54</v>
      </c>
      <c r="J639" t="s">
        <v>780</v>
      </c>
      <c r="K639">
        <f t="shared" si="47"/>
        <v>1</v>
      </c>
      <c r="L639">
        <f t="shared" si="48"/>
        <v>0</v>
      </c>
      <c r="M639">
        <f t="shared" si="49"/>
        <v>1</v>
      </c>
    </row>
    <row r="640" spans="1:13">
      <c r="A640">
        <v>73</v>
      </c>
      <c r="B640" s="13">
        <v>43081</v>
      </c>
      <c r="C640">
        <f t="shared" si="45"/>
        <v>2017</v>
      </c>
      <c r="D640">
        <f t="shared" si="46"/>
        <v>12</v>
      </c>
      <c r="E640" t="s">
        <v>76</v>
      </c>
      <c r="F640" t="s">
        <v>91</v>
      </c>
      <c r="G640" s="14">
        <v>69048</v>
      </c>
      <c r="H640" t="s">
        <v>81</v>
      </c>
      <c r="I640" t="s">
        <v>108</v>
      </c>
      <c r="J640" t="s">
        <v>781</v>
      </c>
      <c r="K640">
        <f t="shared" si="47"/>
        <v>1</v>
      </c>
      <c r="L640">
        <f t="shared" si="48"/>
        <v>0</v>
      </c>
      <c r="M640">
        <f t="shared" si="49"/>
        <v>1</v>
      </c>
    </row>
    <row r="641" spans="1:13">
      <c r="A641">
        <v>587</v>
      </c>
      <c r="B641" s="13">
        <v>43089</v>
      </c>
      <c r="C641">
        <f t="shared" si="45"/>
        <v>2017</v>
      </c>
      <c r="D641">
        <f t="shared" si="46"/>
        <v>12</v>
      </c>
      <c r="E641" t="s">
        <v>38</v>
      </c>
      <c r="F641" t="s">
        <v>227</v>
      </c>
      <c r="G641" s="14">
        <v>52524</v>
      </c>
      <c r="H641" t="s">
        <v>57</v>
      </c>
      <c r="I641" t="s">
        <v>106</v>
      </c>
      <c r="J641" t="s">
        <v>782</v>
      </c>
      <c r="K641">
        <f t="shared" si="47"/>
        <v>1</v>
      </c>
      <c r="L641">
        <f t="shared" si="48"/>
        <v>0</v>
      </c>
      <c r="M641">
        <f t="shared" si="49"/>
        <v>1</v>
      </c>
    </row>
    <row r="642" spans="1:13">
      <c r="A642">
        <v>827</v>
      </c>
      <c r="B642" s="13">
        <v>43090</v>
      </c>
      <c r="C642">
        <f t="shared" ref="C642:C705" si="50">YEAR(B642)</f>
        <v>2017</v>
      </c>
      <c r="D642">
        <f t="shared" ref="D642:D705" si="51">MONTH(B642)</f>
        <v>12</v>
      </c>
      <c r="E642" t="s">
        <v>43</v>
      </c>
      <c r="F642" t="s">
        <v>70</v>
      </c>
      <c r="G642" s="14">
        <v>74808</v>
      </c>
      <c r="H642" t="s">
        <v>57</v>
      </c>
      <c r="I642" t="s">
        <v>65</v>
      </c>
      <c r="J642" t="s">
        <v>783</v>
      </c>
      <c r="K642">
        <f t="shared" ref="K642:K705" si="52">IF(AND(OR(sel_ano="Todos",C642=sel_ano),OR(sel_pais="Todos",H642=sel_pais),OR(sel_marca="Todas",E642=sel_marca)),1,0)</f>
        <v>1</v>
      </c>
      <c r="L642">
        <f t="shared" ref="L642:L705" si="53">IF(sel_ano="Todos",0,IF(AND(C642=sel_ano-1,OR(sel_pais="Todos",H642=sel_pais),OR(sel_marca="Todas",E642=sel_marca)),1,0))</f>
        <v>0</v>
      </c>
      <c r="M642">
        <f t="shared" ref="M642:M705" si="54">IF(AND(OR(sel_pais="Todos",H642=sel_pais),OR(sel_marca="Todas",E642=sel_marca)),1,0)</f>
        <v>1</v>
      </c>
    </row>
    <row r="643" spans="1:13">
      <c r="A643">
        <v>859</v>
      </c>
      <c r="B643" s="13">
        <v>43091</v>
      </c>
      <c r="C643">
        <f t="shared" si="50"/>
        <v>2017</v>
      </c>
      <c r="D643">
        <f t="shared" si="51"/>
        <v>12</v>
      </c>
      <c r="E643" t="s">
        <v>76</v>
      </c>
      <c r="F643" t="s">
        <v>91</v>
      </c>
      <c r="G643" s="14">
        <v>70029</v>
      </c>
      <c r="H643" t="s">
        <v>60</v>
      </c>
      <c r="I643" t="s">
        <v>199</v>
      </c>
      <c r="J643" t="s">
        <v>784</v>
      </c>
      <c r="K643">
        <f t="shared" si="52"/>
        <v>1</v>
      </c>
      <c r="L643">
        <f t="shared" si="53"/>
        <v>0</v>
      </c>
      <c r="M643">
        <f t="shared" si="54"/>
        <v>1</v>
      </c>
    </row>
    <row r="644" spans="1:13">
      <c r="A644">
        <v>733</v>
      </c>
      <c r="B644" s="13">
        <v>43094</v>
      </c>
      <c r="C644">
        <f t="shared" si="50"/>
        <v>2017</v>
      </c>
      <c r="D644">
        <f t="shared" si="51"/>
        <v>12</v>
      </c>
      <c r="E644" t="s">
        <v>94</v>
      </c>
      <c r="F644" t="s">
        <v>489</v>
      </c>
      <c r="G644" s="14">
        <v>48048</v>
      </c>
      <c r="H644" t="s">
        <v>49</v>
      </c>
      <c r="I644" t="s">
        <v>122</v>
      </c>
      <c r="J644" t="s">
        <v>785</v>
      </c>
      <c r="K644">
        <f t="shared" si="52"/>
        <v>1</v>
      </c>
      <c r="L644">
        <f t="shared" si="53"/>
        <v>0</v>
      </c>
      <c r="M644">
        <f t="shared" si="54"/>
        <v>1</v>
      </c>
    </row>
    <row r="645" spans="1:13">
      <c r="A645">
        <v>549</v>
      </c>
      <c r="B645" s="13">
        <v>43095</v>
      </c>
      <c r="C645">
        <f t="shared" si="50"/>
        <v>2017</v>
      </c>
      <c r="D645">
        <f t="shared" si="51"/>
        <v>12</v>
      </c>
      <c r="E645" t="s">
        <v>63</v>
      </c>
      <c r="F645" t="s">
        <v>124</v>
      </c>
      <c r="G645" s="14">
        <v>49230</v>
      </c>
      <c r="H645" t="s">
        <v>60</v>
      </c>
      <c r="I645" t="s">
        <v>71</v>
      </c>
      <c r="J645" t="s">
        <v>786</v>
      </c>
      <c r="K645">
        <f t="shared" si="52"/>
        <v>1</v>
      </c>
      <c r="L645">
        <f t="shared" si="53"/>
        <v>0</v>
      </c>
      <c r="M645">
        <f t="shared" si="54"/>
        <v>1</v>
      </c>
    </row>
    <row r="646" spans="1:13">
      <c r="A646">
        <v>467</v>
      </c>
      <c r="B646" s="13">
        <v>43099</v>
      </c>
      <c r="C646">
        <f t="shared" si="50"/>
        <v>2017</v>
      </c>
      <c r="D646">
        <f t="shared" si="51"/>
        <v>12</v>
      </c>
      <c r="E646" t="s">
        <v>73</v>
      </c>
      <c r="F646" t="s">
        <v>119</v>
      </c>
      <c r="G646" s="14">
        <v>52317</v>
      </c>
      <c r="H646" t="s">
        <v>49</v>
      </c>
      <c r="I646" t="s">
        <v>96</v>
      </c>
      <c r="J646" t="s">
        <v>787</v>
      </c>
      <c r="K646">
        <f t="shared" si="52"/>
        <v>1</v>
      </c>
      <c r="L646">
        <f t="shared" si="53"/>
        <v>0</v>
      </c>
      <c r="M646">
        <f t="shared" si="54"/>
        <v>1</v>
      </c>
    </row>
    <row r="647" spans="1:13">
      <c r="A647">
        <v>962</v>
      </c>
      <c r="B647" s="13">
        <v>43107</v>
      </c>
      <c r="C647">
        <f t="shared" si="50"/>
        <v>2018</v>
      </c>
      <c r="D647">
        <f t="shared" si="51"/>
        <v>1</v>
      </c>
      <c r="E647" t="s">
        <v>63</v>
      </c>
      <c r="F647" t="s">
        <v>162</v>
      </c>
      <c r="G647" s="14">
        <v>73617</v>
      </c>
      <c r="H647" t="s">
        <v>40</v>
      </c>
      <c r="I647" t="s">
        <v>180</v>
      </c>
      <c r="J647" t="s">
        <v>788</v>
      </c>
      <c r="K647">
        <f t="shared" si="52"/>
        <v>1</v>
      </c>
      <c r="L647">
        <f t="shared" si="53"/>
        <v>0</v>
      </c>
      <c r="M647">
        <f t="shared" si="54"/>
        <v>1</v>
      </c>
    </row>
    <row r="648" spans="1:13">
      <c r="A648">
        <v>617</v>
      </c>
      <c r="B648" s="13">
        <v>43110</v>
      </c>
      <c r="C648">
        <f t="shared" si="50"/>
        <v>2018</v>
      </c>
      <c r="D648">
        <f t="shared" si="51"/>
        <v>1</v>
      </c>
      <c r="E648" t="s">
        <v>43</v>
      </c>
      <c r="F648" t="s">
        <v>197</v>
      </c>
      <c r="G648" s="14">
        <v>47296</v>
      </c>
      <c r="H648" t="s">
        <v>60</v>
      </c>
      <c r="I648" t="s">
        <v>188</v>
      </c>
      <c r="J648" t="s">
        <v>789</v>
      </c>
      <c r="K648">
        <f t="shared" si="52"/>
        <v>1</v>
      </c>
      <c r="L648">
        <f t="shared" si="53"/>
        <v>0</v>
      </c>
      <c r="M648">
        <f t="shared" si="54"/>
        <v>1</v>
      </c>
    </row>
    <row r="649" spans="1:13">
      <c r="A649">
        <v>32</v>
      </c>
      <c r="B649" s="13">
        <v>43115</v>
      </c>
      <c r="C649">
        <f t="shared" si="50"/>
        <v>2018</v>
      </c>
      <c r="D649">
        <f t="shared" si="51"/>
        <v>1</v>
      </c>
      <c r="E649" t="s">
        <v>43</v>
      </c>
      <c r="F649" t="s">
        <v>87</v>
      </c>
      <c r="G649" s="14">
        <v>78514</v>
      </c>
      <c r="H649" t="s">
        <v>40</v>
      </c>
      <c r="I649" t="s">
        <v>88</v>
      </c>
      <c r="J649" t="s">
        <v>790</v>
      </c>
      <c r="K649">
        <f t="shared" si="52"/>
        <v>1</v>
      </c>
      <c r="L649">
        <f t="shared" si="53"/>
        <v>0</v>
      </c>
      <c r="M649">
        <f t="shared" si="54"/>
        <v>1</v>
      </c>
    </row>
    <row r="650" spans="1:13">
      <c r="A650">
        <v>949</v>
      </c>
      <c r="B650" s="13">
        <v>43118</v>
      </c>
      <c r="C650">
        <f t="shared" si="50"/>
        <v>2018</v>
      </c>
      <c r="D650">
        <f t="shared" si="51"/>
        <v>1</v>
      </c>
      <c r="E650" t="s">
        <v>38</v>
      </c>
      <c r="F650" t="s">
        <v>126</v>
      </c>
      <c r="G650" s="14">
        <v>55956</v>
      </c>
      <c r="H650" t="s">
        <v>57</v>
      </c>
      <c r="I650" t="s">
        <v>65</v>
      </c>
      <c r="J650" t="s">
        <v>791</v>
      </c>
      <c r="K650">
        <f t="shared" si="52"/>
        <v>1</v>
      </c>
      <c r="L650">
        <f t="shared" si="53"/>
        <v>0</v>
      </c>
      <c r="M650">
        <f t="shared" si="54"/>
        <v>1</v>
      </c>
    </row>
    <row r="651" spans="1:13">
      <c r="A651">
        <v>274</v>
      </c>
      <c r="B651" s="13">
        <v>43119</v>
      </c>
      <c r="C651">
        <f t="shared" si="50"/>
        <v>2018</v>
      </c>
      <c r="D651">
        <f t="shared" si="51"/>
        <v>1</v>
      </c>
      <c r="E651" t="s">
        <v>73</v>
      </c>
      <c r="F651" t="s">
        <v>74</v>
      </c>
      <c r="G651" s="14">
        <v>67077</v>
      </c>
      <c r="H651" t="s">
        <v>40</v>
      </c>
      <c r="I651" t="s">
        <v>100</v>
      </c>
      <c r="J651" t="s">
        <v>792</v>
      </c>
      <c r="K651">
        <f t="shared" si="52"/>
        <v>1</v>
      </c>
      <c r="L651">
        <f t="shared" si="53"/>
        <v>0</v>
      </c>
      <c r="M651">
        <f t="shared" si="54"/>
        <v>1</v>
      </c>
    </row>
    <row r="652" spans="1:13">
      <c r="A652">
        <v>644</v>
      </c>
      <c r="B652" s="13">
        <v>43119</v>
      </c>
      <c r="C652">
        <f t="shared" si="50"/>
        <v>2018</v>
      </c>
      <c r="D652">
        <f t="shared" si="51"/>
        <v>1</v>
      </c>
      <c r="E652" t="s">
        <v>43</v>
      </c>
      <c r="F652" t="s">
        <v>197</v>
      </c>
      <c r="G652" s="14">
        <v>69955</v>
      </c>
      <c r="H652" t="s">
        <v>49</v>
      </c>
      <c r="I652" t="s">
        <v>122</v>
      </c>
      <c r="J652" t="s">
        <v>793</v>
      </c>
      <c r="K652">
        <f t="shared" si="52"/>
        <v>1</v>
      </c>
      <c r="L652">
        <f t="shared" si="53"/>
        <v>0</v>
      </c>
      <c r="M652">
        <f t="shared" si="54"/>
        <v>1</v>
      </c>
    </row>
    <row r="653" spans="1:13">
      <c r="A653">
        <v>956</v>
      </c>
      <c r="B653" s="13">
        <v>43129</v>
      </c>
      <c r="C653">
        <f t="shared" si="50"/>
        <v>2018</v>
      </c>
      <c r="D653">
        <f t="shared" si="51"/>
        <v>1</v>
      </c>
      <c r="E653" t="s">
        <v>47</v>
      </c>
      <c r="F653" t="s">
        <v>132</v>
      </c>
      <c r="G653" s="14">
        <v>56432</v>
      </c>
      <c r="H653" t="s">
        <v>53</v>
      </c>
      <c r="I653" t="s">
        <v>92</v>
      </c>
      <c r="J653" t="s">
        <v>794</v>
      </c>
      <c r="K653">
        <f t="shared" si="52"/>
        <v>1</v>
      </c>
      <c r="L653">
        <f t="shared" si="53"/>
        <v>0</v>
      </c>
      <c r="M653">
        <f t="shared" si="54"/>
        <v>1</v>
      </c>
    </row>
    <row r="654" spans="1:13">
      <c r="A654">
        <v>77</v>
      </c>
      <c r="B654" s="13">
        <v>43130</v>
      </c>
      <c r="C654">
        <f t="shared" si="50"/>
        <v>2018</v>
      </c>
      <c r="D654">
        <f t="shared" si="51"/>
        <v>1</v>
      </c>
      <c r="E654" t="s">
        <v>94</v>
      </c>
      <c r="F654" t="s">
        <v>652</v>
      </c>
      <c r="G654" s="14">
        <v>77526</v>
      </c>
      <c r="H654" t="s">
        <v>60</v>
      </c>
      <c r="I654" t="s">
        <v>114</v>
      </c>
      <c r="J654" t="s">
        <v>795</v>
      </c>
      <c r="K654">
        <f t="shared" si="52"/>
        <v>1</v>
      </c>
      <c r="L654">
        <f t="shared" si="53"/>
        <v>0</v>
      </c>
      <c r="M654">
        <f t="shared" si="54"/>
        <v>1</v>
      </c>
    </row>
    <row r="655" spans="1:13">
      <c r="A655">
        <v>171</v>
      </c>
      <c r="B655" s="13">
        <v>43130</v>
      </c>
      <c r="C655">
        <f t="shared" si="50"/>
        <v>2018</v>
      </c>
      <c r="D655">
        <f t="shared" si="51"/>
        <v>1</v>
      </c>
      <c r="E655" t="s">
        <v>38</v>
      </c>
      <c r="F655" t="s">
        <v>80</v>
      </c>
      <c r="G655" s="14">
        <v>56990</v>
      </c>
      <c r="H655" t="s">
        <v>49</v>
      </c>
      <c r="I655" t="s">
        <v>151</v>
      </c>
      <c r="J655" t="s">
        <v>796</v>
      </c>
      <c r="K655">
        <f t="shared" si="52"/>
        <v>1</v>
      </c>
      <c r="L655">
        <f t="shared" si="53"/>
        <v>0</v>
      </c>
      <c r="M655">
        <f t="shared" si="54"/>
        <v>1</v>
      </c>
    </row>
    <row r="656" spans="1:13">
      <c r="A656">
        <v>217</v>
      </c>
      <c r="B656" s="13">
        <v>43130</v>
      </c>
      <c r="C656">
        <f t="shared" si="50"/>
        <v>2018</v>
      </c>
      <c r="D656">
        <f t="shared" si="51"/>
        <v>1</v>
      </c>
      <c r="E656" t="s">
        <v>76</v>
      </c>
      <c r="F656" t="s">
        <v>110</v>
      </c>
      <c r="G656" s="14">
        <v>61473</v>
      </c>
      <c r="H656" t="s">
        <v>81</v>
      </c>
      <c r="I656" t="s">
        <v>82</v>
      </c>
      <c r="J656" t="s">
        <v>797</v>
      </c>
      <c r="K656">
        <f t="shared" si="52"/>
        <v>1</v>
      </c>
      <c r="L656">
        <f t="shared" si="53"/>
        <v>0</v>
      </c>
      <c r="M656">
        <f t="shared" si="54"/>
        <v>1</v>
      </c>
    </row>
    <row r="657" spans="1:13">
      <c r="A657">
        <v>872</v>
      </c>
      <c r="B657" s="13">
        <v>43135</v>
      </c>
      <c r="C657">
        <f t="shared" si="50"/>
        <v>2018</v>
      </c>
      <c r="D657">
        <f t="shared" si="51"/>
        <v>2</v>
      </c>
      <c r="E657" t="s">
        <v>47</v>
      </c>
      <c r="F657" t="s">
        <v>155</v>
      </c>
      <c r="G657" s="14">
        <v>65511</v>
      </c>
      <c r="H657" t="s">
        <v>60</v>
      </c>
      <c r="I657" t="s">
        <v>114</v>
      </c>
      <c r="J657" t="s">
        <v>798</v>
      </c>
      <c r="K657">
        <f t="shared" si="52"/>
        <v>1</v>
      </c>
      <c r="L657">
        <f t="shared" si="53"/>
        <v>0</v>
      </c>
      <c r="M657">
        <f t="shared" si="54"/>
        <v>1</v>
      </c>
    </row>
    <row r="658" spans="1:13">
      <c r="A658">
        <v>433</v>
      </c>
      <c r="B658" s="13">
        <v>43142</v>
      </c>
      <c r="C658">
        <f t="shared" si="50"/>
        <v>2018</v>
      </c>
      <c r="D658">
        <f t="shared" si="51"/>
        <v>2</v>
      </c>
      <c r="E658" t="s">
        <v>73</v>
      </c>
      <c r="F658" t="s">
        <v>223</v>
      </c>
      <c r="G658" s="14">
        <v>67564</v>
      </c>
      <c r="H658" t="s">
        <v>53</v>
      </c>
      <c r="I658" t="s">
        <v>54</v>
      </c>
      <c r="J658" t="s">
        <v>799</v>
      </c>
      <c r="K658">
        <f t="shared" si="52"/>
        <v>1</v>
      </c>
      <c r="L658">
        <f t="shared" si="53"/>
        <v>0</v>
      </c>
      <c r="M658">
        <f t="shared" si="54"/>
        <v>1</v>
      </c>
    </row>
    <row r="659" spans="1:13">
      <c r="A659">
        <v>231</v>
      </c>
      <c r="B659" s="13">
        <v>43144</v>
      </c>
      <c r="C659">
        <f t="shared" si="50"/>
        <v>2018</v>
      </c>
      <c r="D659">
        <f t="shared" si="51"/>
        <v>2</v>
      </c>
      <c r="E659" t="s">
        <v>76</v>
      </c>
      <c r="F659" t="s">
        <v>110</v>
      </c>
      <c r="G659" s="14">
        <v>60896</v>
      </c>
      <c r="H659" t="s">
        <v>49</v>
      </c>
      <c r="I659" t="s">
        <v>50</v>
      </c>
      <c r="J659" t="s">
        <v>800</v>
      </c>
      <c r="K659">
        <f t="shared" si="52"/>
        <v>1</v>
      </c>
      <c r="L659">
        <f t="shared" si="53"/>
        <v>0</v>
      </c>
      <c r="M659">
        <f t="shared" si="54"/>
        <v>1</v>
      </c>
    </row>
    <row r="660" spans="1:13">
      <c r="A660">
        <v>982</v>
      </c>
      <c r="B660" s="13">
        <v>43145</v>
      </c>
      <c r="C660">
        <f t="shared" si="50"/>
        <v>2018</v>
      </c>
      <c r="D660">
        <f t="shared" si="51"/>
        <v>2</v>
      </c>
      <c r="E660" t="s">
        <v>38</v>
      </c>
      <c r="F660" t="s">
        <v>165</v>
      </c>
      <c r="G660" s="14">
        <v>57260</v>
      </c>
      <c r="H660" t="s">
        <v>60</v>
      </c>
      <c r="I660" t="s">
        <v>61</v>
      </c>
      <c r="J660" t="s">
        <v>801</v>
      </c>
      <c r="K660">
        <f t="shared" si="52"/>
        <v>1</v>
      </c>
      <c r="L660">
        <f t="shared" si="53"/>
        <v>0</v>
      </c>
      <c r="M660">
        <f t="shared" si="54"/>
        <v>1</v>
      </c>
    </row>
    <row r="661" spans="1:13">
      <c r="A661">
        <v>620</v>
      </c>
      <c r="B661" s="13">
        <v>43152</v>
      </c>
      <c r="C661">
        <f t="shared" si="50"/>
        <v>2018</v>
      </c>
      <c r="D661">
        <f t="shared" si="51"/>
        <v>2</v>
      </c>
      <c r="E661" t="s">
        <v>47</v>
      </c>
      <c r="F661" t="s">
        <v>155</v>
      </c>
      <c r="G661" s="14">
        <v>51235</v>
      </c>
      <c r="H661" t="s">
        <v>49</v>
      </c>
      <c r="I661" t="s">
        <v>103</v>
      </c>
      <c r="J661" t="s">
        <v>802</v>
      </c>
      <c r="K661">
        <f t="shared" si="52"/>
        <v>1</v>
      </c>
      <c r="L661">
        <f t="shared" si="53"/>
        <v>0</v>
      </c>
      <c r="M661">
        <f t="shared" si="54"/>
        <v>1</v>
      </c>
    </row>
    <row r="662" spans="1:13">
      <c r="A662">
        <v>681</v>
      </c>
      <c r="B662" s="13">
        <v>43152</v>
      </c>
      <c r="C662">
        <f t="shared" si="50"/>
        <v>2018</v>
      </c>
      <c r="D662">
        <f t="shared" si="51"/>
        <v>2</v>
      </c>
      <c r="E662" t="s">
        <v>76</v>
      </c>
      <c r="F662" t="s">
        <v>216</v>
      </c>
      <c r="G662" s="14">
        <v>71169</v>
      </c>
      <c r="H662" t="s">
        <v>81</v>
      </c>
      <c r="I662" t="s">
        <v>82</v>
      </c>
      <c r="J662" t="s">
        <v>803</v>
      </c>
      <c r="K662">
        <f t="shared" si="52"/>
        <v>1</v>
      </c>
      <c r="L662">
        <f t="shared" si="53"/>
        <v>0</v>
      </c>
      <c r="M662">
        <f t="shared" si="54"/>
        <v>1</v>
      </c>
    </row>
    <row r="663" spans="1:13">
      <c r="A663">
        <v>707</v>
      </c>
      <c r="B663" s="13">
        <v>43152</v>
      </c>
      <c r="C663">
        <f t="shared" si="50"/>
        <v>2018</v>
      </c>
      <c r="D663">
        <f t="shared" si="51"/>
        <v>2</v>
      </c>
      <c r="E663" t="s">
        <v>47</v>
      </c>
      <c r="F663" t="s">
        <v>48</v>
      </c>
      <c r="G663" s="14">
        <v>79397</v>
      </c>
      <c r="H663" t="s">
        <v>60</v>
      </c>
      <c r="I663" t="s">
        <v>114</v>
      </c>
      <c r="J663" t="s">
        <v>804</v>
      </c>
      <c r="K663">
        <f t="shared" si="52"/>
        <v>1</v>
      </c>
      <c r="L663">
        <f t="shared" si="53"/>
        <v>0</v>
      </c>
      <c r="M663">
        <f t="shared" si="54"/>
        <v>1</v>
      </c>
    </row>
    <row r="664" spans="1:13">
      <c r="A664">
        <v>419</v>
      </c>
      <c r="B664" s="13">
        <v>43156</v>
      </c>
      <c r="C664">
        <f t="shared" si="50"/>
        <v>2018</v>
      </c>
      <c r="D664">
        <f t="shared" si="51"/>
        <v>2</v>
      </c>
      <c r="E664" t="s">
        <v>76</v>
      </c>
      <c r="F664" t="s">
        <v>110</v>
      </c>
      <c r="G664" s="14">
        <v>61364</v>
      </c>
      <c r="H664" t="s">
        <v>81</v>
      </c>
      <c r="I664" t="s">
        <v>190</v>
      </c>
      <c r="J664" t="s">
        <v>805</v>
      </c>
      <c r="K664">
        <f t="shared" si="52"/>
        <v>1</v>
      </c>
      <c r="L664">
        <f t="shared" si="53"/>
        <v>0</v>
      </c>
      <c r="M664">
        <f t="shared" si="54"/>
        <v>1</v>
      </c>
    </row>
    <row r="665" spans="1:13">
      <c r="A665">
        <v>370</v>
      </c>
      <c r="B665" s="13">
        <v>43157</v>
      </c>
      <c r="C665">
        <f t="shared" si="50"/>
        <v>2018</v>
      </c>
      <c r="D665">
        <f t="shared" si="51"/>
        <v>2</v>
      </c>
      <c r="E665" t="s">
        <v>94</v>
      </c>
      <c r="F665" t="s">
        <v>328</v>
      </c>
      <c r="G665" s="14">
        <v>70074</v>
      </c>
      <c r="H665" t="s">
        <v>60</v>
      </c>
      <c r="I665" t="s">
        <v>114</v>
      </c>
      <c r="J665" t="s">
        <v>806</v>
      </c>
      <c r="K665">
        <f t="shared" si="52"/>
        <v>1</v>
      </c>
      <c r="L665">
        <f t="shared" si="53"/>
        <v>0</v>
      </c>
      <c r="M665">
        <f t="shared" si="54"/>
        <v>1</v>
      </c>
    </row>
    <row r="666" spans="1:13">
      <c r="A666">
        <v>158</v>
      </c>
      <c r="B666" s="13">
        <v>43158</v>
      </c>
      <c r="C666">
        <f t="shared" si="50"/>
        <v>2018</v>
      </c>
      <c r="D666">
        <f t="shared" si="51"/>
        <v>2</v>
      </c>
      <c r="E666" t="s">
        <v>43</v>
      </c>
      <c r="F666" t="s">
        <v>134</v>
      </c>
      <c r="G666" s="14">
        <v>47644</v>
      </c>
      <c r="H666" t="s">
        <v>53</v>
      </c>
      <c r="I666" t="s">
        <v>92</v>
      </c>
      <c r="J666" t="s">
        <v>807</v>
      </c>
      <c r="K666">
        <f t="shared" si="52"/>
        <v>1</v>
      </c>
      <c r="L666">
        <f t="shared" si="53"/>
        <v>0</v>
      </c>
      <c r="M666">
        <f t="shared" si="54"/>
        <v>1</v>
      </c>
    </row>
    <row r="667" spans="1:13">
      <c r="A667">
        <v>604</v>
      </c>
      <c r="B667" s="13">
        <v>43158</v>
      </c>
      <c r="C667">
        <f t="shared" si="50"/>
        <v>2018</v>
      </c>
      <c r="D667">
        <f t="shared" si="51"/>
        <v>2</v>
      </c>
      <c r="E667" t="s">
        <v>43</v>
      </c>
      <c r="F667" t="s">
        <v>67</v>
      </c>
      <c r="G667" s="14">
        <v>46841</v>
      </c>
      <c r="H667" t="s">
        <v>40</v>
      </c>
      <c r="I667" t="s">
        <v>88</v>
      </c>
      <c r="J667" t="s">
        <v>808</v>
      </c>
      <c r="K667">
        <f t="shared" si="52"/>
        <v>1</v>
      </c>
      <c r="L667">
        <f t="shared" si="53"/>
        <v>0</v>
      </c>
      <c r="M667">
        <f t="shared" si="54"/>
        <v>1</v>
      </c>
    </row>
    <row r="668" spans="1:13">
      <c r="A668">
        <v>735</v>
      </c>
      <c r="B668" s="13">
        <v>43158</v>
      </c>
      <c r="C668">
        <f t="shared" si="50"/>
        <v>2018</v>
      </c>
      <c r="D668">
        <f t="shared" si="51"/>
        <v>2</v>
      </c>
      <c r="E668" t="s">
        <v>94</v>
      </c>
      <c r="F668" t="s">
        <v>489</v>
      </c>
      <c r="G668" s="14">
        <v>55501</v>
      </c>
      <c r="H668" t="s">
        <v>60</v>
      </c>
      <c r="I668" t="s">
        <v>114</v>
      </c>
      <c r="J668" t="s">
        <v>809</v>
      </c>
      <c r="K668">
        <f t="shared" si="52"/>
        <v>1</v>
      </c>
      <c r="L668">
        <f t="shared" si="53"/>
        <v>0</v>
      </c>
      <c r="M668">
        <f t="shared" si="54"/>
        <v>1</v>
      </c>
    </row>
    <row r="669" spans="1:13">
      <c r="A669">
        <v>963</v>
      </c>
      <c r="B669" s="13">
        <v>43158</v>
      </c>
      <c r="C669">
        <f t="shared" si="50"/>
        <v>2018</v>
      </c>
      <c r="D669">
        <f t="shared" si="51"/>
        <v>2</v>
      </c>
      <c r="E669" t="s">
        <v>63</v>
      </c>
      <c r="F669" t="s">
        <v>162</v>
      </c>
      <c r="G669" s="14">
        <v>40600</v>
      </c>
      <c r="H669" t="s">
        <v>40</v>
      </c>
      <c r="I669" t="s">
        <v>180</v>
      </c>
      <c r="J669" t="s">
        <v>810</v>
      </c>
      <c r="K669">
        <f t="shared" si="52"/>
        <v>1</v>
      </c>
      <c r="L669">
        <f t="shared" si="53"/>
        <v>0</v>
      </c>
      <c r="M669">
        <f t="shared" si="54"/>
        <v>1</v>
      </c>
    </row>
    <row r="670" spans="1:13">
      <c r="A670">
        <v>978</v>
      </c>
      <c r="B670" s="13">
        <v>43159</v>
      </c>
      <c r="C670">
        <f t="shared" si="50"/>
        <v>2018</v>
      </c>
      <c r="D670">
        <f t="shared" si="51"/>
        <v>2</v>
      </c>
      <c r="E670" t="s">
        <v>38</v>
      </c>
      <c r="F670" t="s">
        <v>227</v>
      </c>
      <c r="G670" s="14">
        <v>65940</v>
      </c>
      <c r="H670" t="s">
        <v>57</v>
      </c>
      <c r="I670" t="s">
        <v>231</v>
      </c>
      <c r="J670" t="s">
        <v>811</v>
      </c>
      <c r="K670">
        <f t="shared" si="52"/>
        <v>1</v>
      </c>
      <c r="L670">
        <f t="shared" si="53"/>
        <v>0</v>
      </c>
      <c r="M670">
        <f t="shared" si="54"/>
        <v>1</v>
      </c>
    </row>
    <row r="671" spans="1:13">
      <c r="A671">
        <v>287</v>
      </c>
      <c r="B671" s="13">
        <v>43167</v>
      </c>
      <c r="C671">
        <f t="shared" si="50"/>
        <v>2018</v>
      </c>
      <c r="D671">
        <f t="shared" si="51"/>
        <v>3</v>
      </c>
      <c r="E671" t="s">
        <v>73</v>
      </c>
      <c r="F671" t="s">
        <v>102</v>
      </c>
      <c r="G671" s="14">
        <v>45384</v>
      </c>
      <c r="H671" t="s">
        <v>53</v>
      </c>
      <c r="I671" t="s">
        <v>120</v>
      </c>
      <c r="J671" t="s">
        <v>812</v>
      </c>
      <c r="K671">
        <f t="shared" si="52"/>
        <v>1</v>
      </c>
      <c r="L671">
        <f t="shared" si="53"/>
        <v>0</v>
      </c>
      <c r="M671">
        <f t="shared" si="54"/>
        <v>1</v>
      </c>
    </row>
    <row r="672" spans="1:13">
      <c r="A672">
        <v>414</v>
      </c>
      <c r="B672" s="13">
        <v>43167</v>
      </c>
      <c r="C672">
        <f t="shared" si="50"/>
        <v>2018</v>
      </c>
      <c r="D672">
        <f t="shared" si="51"/>
        <v>3</v>
      </c>
      <c r="E672" t="s">
        <v>76</v>
      </c>
      <c r="F672" t="s">
        <v>129</v>
      </c>
      <c r="G672" s="14">
        <v>59392</v>
      </c>
      <c r="H672" t="s">
        <v>81</v>
      </c>
      <c r="I672" t="s">
        <v>108</v>
      </c>
      <c r="J672" t="s">
        <v>813</v>
      </c>
      <c r="K672">
        <f t="shared" si="52"/>
        <v>1</v>
      </c>
      <c r="L672">
        <f t="shared" si="53"/>
        <v>0</v>
      </c>
      <c r="M672">
        <f t="shared" si="54"/>
        <v>1</v>
      </c>
    </row>
    <row r="673" spans="1:13">
      <c r="A673">
        <v>492</v>
      </c>
      <c r="B673" s="13">
        <v>43172</v>
      </c>
      <c r="C673">
        <f t="shared" si="50"/>
        <v>2018</v>
      </c>
      <c r="D673">
        <f t="shared" si="51"/>
        <v>3</v>
      </c>
      <c r="E673" t="s">
        <v>38</v>
      </c>
      <c r="F673" t="s">
        <v>56</v>
      </c>
      <c r="G673" s="14">
        <v>67627</v>
      </c>
      <c r="H673" t="s">
        <v>57</v>
      </c>
      <c r="I673" t="s">
        <v>160</v>
      </c>
      <c r="J673" t="s">
        <v>814</v>
      </c>
      <c r="K673">
        <f t="shared" si="52"/>
        <v>1</v>
      </c>
      <c r="L673">
        <f t="shared" si="53"/>
        <v>0</v>
      </c>
      <c r="M673">
        <f t="shared" si="54"/>
        <v>1</v>
      </c>
    </row>
    <row r="674" spans="1:13">
      <c r="A674">
        <v>16</v>
      </c>
      <c r="B674" s="13">
        <v>43175</v>
      </c>
      <c r="C674">
        <f t="shared" si="50"/>
        <v>2018</v>
      </c>
      <c r="D674">
        <f t="shared" si="51"/>
        <v>3</v>
      </c>
      <c r="E674" t="s">
        <v>47</v>
      </c>
      <c r="F674" t="s">
        <v>155</v>
      </c>
      <c r="G674" s="14">
        <v>62818</v>
      </c>
      <c r="H674" t="s">
        <v>49</v>
      </c>
      <c r="I674" t="s">
        <v>103</v>
      </c>
      <c r="J674" t="s">
        <v>815</v>
      </c>
      <c r="K674">
        <f t="shared" si="52"/>
        <v>1</v>
      </c>
      <c r="L674">
        <f t="shared" si="53"/>
        <v>0</v>
      </c>
      <c r="M674">
        <f t="shared" si="54"/>
        <v>1</v>
      </c>
    </row>
    <row r="675" spans="1:13">
      <c r="A675">
        <v>285</v>
      </c>
      <c r="B675" s="13">
        <v>43175</v>
      </c>
      <c r="C675">
        <f t="shared" si="50"/>
        <v>2018</v>
      </c>
      <c r="D675">
        <f t="shared" si="51"/>
        <v>3</v>
      </c>
      <c r="E675" t="s">
        <v>43</v>
      </c>
      <c r="F675" t="s">
        <v>44</v>
      </c>
      <c r="G675" s="14">
        <v>65295</v>
      </c>
      <c r="H675" t="s">
        <v>40</v>
      </c>
      <c r="I675" t="s">
        <v>144</v>
      </c>
      <c r="J675" t="s">
        <v>816</v>
      </c>
      <c r="K675">
        <f t="shared" si="52"/>
        <v>1</v>
      </c>
      <c r="L675">
        <f t="shared" si="53"/>
        <v>0</v>
      </c>
      <c r="M675">
        <f t="shared" si="54"/>
        <v>1</v>
      </c>
    </row>
    <row r="676" spans="1:13">
      <c r="A676">
        <v>252</v>
      </c>
      <c r="B676" s="13">
        <v>43178</v>
      </c>
      <c r="C676">
        <f t="shared" si="50"/>
        <v>2018</v>
      </c>
      <c r="D676">
        <f t="shared" si="51"/>
        <v>3</v>
      </c>
      <c r="E676" t="s">
        <v>76</v>
      </c>
      <c r="F676" t="s">
        <v>129</v>
      </c>
      <c r="G676" s="14">
        <v>47327</v>
      </c>
      <c r="H676" t="s">
        <v>40</v>
      </c>
      <c r="I676" t="s">
        <v>41</v>
      </c>
      <c r="J676" t="s">
        <v>817</v>
      </c>
      <c r="K676">
        <f t="shared" si="52"/>
        <v>1</v>
      </c>
      <c r="L676">
        <f t="shared" si="53"/>
        <v>0</v>
      </c>
      <c r="M676">
        <f t="shared" si="54"/>
        <v>1</v>
      </c>
    </row>
    <row r="677" spans="1:13">
      <c r="A677">
        <v>546</v>
      </c>
      <c r="B677" s="13">
        <v>43180</v>
      </c>
      <c r="C677">
        <f t="shared" si="50"/>
        <v>2018</v>
      </c>
      <c r="D677">
        <f t="shared" si="51"/>
        <v>3</v>
      </c>
      <c r="E677" t="s">
        <v>47</v>
      </c>
      <c r="F677" t="s">
        <v>132</v>
      </c>
      <c r="G677" s="14">
        <v>60130</v>
      </c>
      <c r="H677" t="s">
        <v>60</v>
      </c>
      <c r="I677" t="s">
        <v>114</v>
      </c>
      <c r="J677" t="s">
        <v>818</v>
      </c>
      <c r="K677">
        <f t="shared" si="52"/>
        <v>1</v>
      </c>
      <c r="L677">
        <f t="shared" si="53"/>
        <v>0</v>
      </c>
      <c r="M677">
        <f t="shared" si="54"/>
        <v>1</v>
      </c>
    </row>
    <row r="678" spans="1:13">
      <c r="A678">
        <v>307</v>
      </c>
      <c r="B678" s="13">
        <v>43185</v>
      </c>
      <c r="C678">
        <f t="shared" si="50"/>
        <v>2018</v>
      </c>
      <c r="D678">
        <f t="shared" si="51"/>
        <v>3</v>
      </c>
      <c r="E678" t="s">
        <v>47</v>
      </c>
      <c r="F678" t="s">
        <v>136</v>
      </c>
      <c r="G678" s="14">
        <v>46644.32</v>
      </c>
      <c r="H678" t="s">
        <v>40</v>
      </c>
      <c r="I678" t="s">
        <v>45</v>
      </c>
      <c r="J678" t="s">
        <v>819</v>
      </c>
      <c r="K678">
        <f t="shared" si="52"/>
        <v>1</v>
      </c>
      <c r="L678">
        <f t="shared" si="53"/>
        <v>0</v>
      </c>
      <c r="M678">
        <f t="shared" si="54"/>
        <v>1</v>
      </c>
    </row>
    <row r="679" spans="1:13">
      <c r="A679">
        <v>324</v>
      </c>
      <c r="B679" s="13">
        <v>43185</v>
      </c>
      <c r="C679">
        <f t="shared" si="50"/>
        <v>2018</v>
      </c>
      <c r="D679">
        <f t="shared" si="51"/>
        <v>3</v>
      </c>
      <c r="E679" t="s">
        <v>76</v>
      </c>
      <c r="F679" t="s">
        <v>216</v>
      </c>
      <c r="G679" s="14">
        <v>58318</v>
      </c>
      <c r="H679" t="s">
        <v>49</v>
      </c>
      <c r="I679" t="s">
        <v>151</v>
      </c>
      <c r="J679" t="s">
        <v>820</v>
      </c>
      <c r="K679">
        <f t="shared" si="52"/>
        <v>1</v>
      </c>
      <c r="L679">
        <f t="shared" si="53"/>
        <v>0</v>
      </c>
      <c r="M679">
        <f t="shared" si="54"/>
        <v>1</v>
      </c>
    </row>
    <row r="680" spans="1:13">
      <c r="A680">
        <v>964</v>
      </c>
      <c r="B680" s="13">
        <v>43186</v>
      </c>
      <c r="C680">
        <f t="shared" si="50"/>
        <v>2018</v>
      </c>
      <c r="D680">
        <f t="shared" si="51"/>
        <v>3</v>
      </c>
      <c r="E680" t="s">
        <v>63</v>
      </c>
      <c r="F680" t="s">
        <v>248</v>
      </c>
      <c r="G680" s="14">
        <v>58245</v>
      </c>
      <c r="H680" t="s">
        <v>60</v>
      </c>
      <c r="I680" t="s">
        <v>61</v>
      </c>
      <c r="J680" t="s">
        <v>821</v>
      </c>
      <c r="K680">
        <f t="shared" si="52"/>
        <v>1</v>
      </c>
      <c r="L680">
        <f t="shared" si="53"/>
        <v>0</v>
      </c>
      <c r="M680">
        <f t="shared" si="54"/>
        <v>1</v>
      </c>
    </row>
    <row r="681" spans="1:13">
      <c r="A681">
        <v>612</v>
      </c>
      <c r="B681" s="13">
        <v>43188</v>
      </c>
      <c r="C681">
        <f t="shared" si="50"/>
        <v>2018</v>
      </c>
      <c r="D681">
        <f t="shared" si="51"/>
        <v>3</v>
      </c>
      <c r="E681" t="s">
        <v>76</v>
      </c>
      <c r="F681" t="s">
        <v>91</v>
      </c>
      <c r="G681" s="14">
        <v>79354</v>
      </c>
      <c r="H681" t="s">
        <v>49</v>
      </c>
      <c r="I681" t="s">
        <v>122</v>
      </c>
      <c r="J681" t="s">
        <v>822</v>
      </c>
      <c r="K681">
        <f t="shared" si="52"/>
        <v>1</v>
      </c>
      <c r="L681">
        <f t="shared" si="53"/>
        <v>0</v>
      </c>
      <c r="M681">
        <f t="shared" si="54"/>
        <v>1</v>
      </c>
    </row>
    <row r="682" spans="1:13">
      <c r="A682">
        <v>971</v>
      </c>
      <c r="B682" s="13">
        <v>43189</v>
      </c>
      <c r="C682">
        <f t="shared" si="50"/>
        <v>2018</v>
      </c>
      <c r="D682">
        <f t="shared" si="51"/>
        <v>3</v>
      </c>
      <c r="E682" t="s">
        <v>94</v>
      </c>
      <c r="F682" t="s">
        <v>652</v>
      </c>
      <c r="G682" s="14">
        <v>77526</v>
      </c>
      <c r="H682" t="s">
        <v>60</v>
      </c>
      <c r="I682" t="s">
        <v>114</v>
      </c>
      <c r="J682" t="s">
        <v>795</v>
      </c>
      <c r="K682">
        <f t="shared" si="52"/>
        <v>1</v>
      </c>
      <c r="L682">
        <f t="shared" si="53"/>
        <v>0</v>
      </c>
      <c r="M682">
        <f t="shared" si="54"/>
        <v>1</v>
      </c>
    </row>
    <row r="683" spans="1:13">
      <c r="A683">
        <v>396</v>
      </c>
      <c r="B683" s="13">
        <v>43194</v>
      </c>
      <c r="C683">
        <f t="shared" si="50"/>
        <v>2018</v>
      </c>
      <c r="D683">
        <f t="shared" si="51"/>
        <v>4</v>
      </c>
      <c r="E683" t="s">
        <v>43</v>
      </c>
      <c r="F683" t="s">
        <v>251</v>
      </c>
      <c r="G683" s="14">
        <v>74700</v>
      </c>
      <c r="H683" t="s">
        <v>60</v>
      </c>
      <c r="I683" t="s">
        <v>61</v>
      </c>
      <c r="J683" t="s">
        <v>823</v>
      </c>
      <c r="K683">
        <f t="shared" si="52"/>
        <v>1</v>
      </c>
      <c r="L683">
        <f t="shared" si="53"/>
        <v>0</v>
      </c>
      <c r="M683">
        <f t="shared" si="54"/>
        <v>1</v>
      </c>
    </row>
    <row r="684" spans="1:13">
      <c r="A684">
        <v>199</v>
      </c>
      <c r="B684" s="13">
        <v>43195</v>
      </c>
      <c r="C684">
        <f t="shared" si="50"/>
        <v>2018</v>
      </c>
      <c r="D684">
        <f t="shared" si="51"/>
        <v>4</v>
      </c>
      <c r="E684" t="s">
        <v>43</v>
      </c>
      <c r="F684" t="s">
        <v>70</v>
      </c>
      <c r="G684" s="14">
        <v>70554</v>
      </c>
      <c r="H684" t="s">
        <v>49</v>
      </c>
      <c r="I684" t="s">
        <v>96</v>
      </c>
      <c r="J684" t="s">
        <v>824</v>
      </c>
      <c r="K684">
        <f t="shared" si="52"/>
        <v>1</v>
      </c>
      <c r="L684">
        <f t="shared" si="53"/>
        <v>0</v>
      </c>
      <c r="M684">
        <f t="shared" si="54"/>
        <v>1</v>
      </c>
    </row>
    <row r="685" spans="1:13">
      <c r="A685">
        <v>241</v>
      </c>
      <c r="B685" s="13">
        <v>43197</v>
      </c>
      <c r="C685">
        <f t="shared" si="50"/>
        <v>2018</v>
      </c>
      <c r="D685">
        <f t="shared" si="51"/>
        <v>4</v>
      </c>
      <c r="E685" t="s">
        <v>38</v>
      </c>
      <c r="F685" t="s">
        <v>56</v>
      </c>
      <c r="G685" s="14">
        <v>75485</v>
      </c>
      <c r="H685" t="s">
        <v>60</v>
      </c>
      <c r="I685" t="s">
        <v>188</v>
      </c>
      <c r="J685" t="s">
        <v>825</v>
      </c>
      <c r="K685">
        <f t="shared" si="52"/>
        <v>1</v>
      </c>
      <c r="L685">
        <f t="shared" si="53"/>
        <v>0</v>
      </c>
      <c r="M685">
        <f t="shared" si="54"/>
        <v>1</v>
      </c>
    </row>
    <row r="686" spans="1:13">
      <c r="A686">
        <v>664</v>
      </c>
      <c r="B686" s="13">
        <v>43198</v>
      </c>
      <c r="C686">
        <f t="shared" si="50"/>
        <v>2018</v>
      </c>
      <c r="D686">
        <f t="shared" si="51"/>
        <v>4</v>
      </c>
      <c r="E686" t="s">
        <v>38</v>
      </c>
      <c r="F686" t="s">
        <v>80</v>
      </c>
      <c r="G686" s="14">
        <v>51678</v>
      </c>
      <c r="H686" t="s">
        <v>60</v>
      </c>
      <c r="I686" t="s">
        <v>199</v>
      </c>
      <c r="J686" t="s">
        <v>826</v>
      </c>
      <c r="K686">
        <f t="shared" si="52"/>
        <v>1</v>
      </c>
      <c r="L686">
        <f t="shared" si="53"/>
        <v>0</v>
      </c>
      <c r="M686">
        <f t="shared" si="54"/>
        <v>1</v>
      </c>
    </row>
    <row r="687" spans="1:13">
      <c r="A687">
        <v>185</v>
      </c>
      <c r="B687" s="13">
        <v>43199</v>
      </c>
      <c r="C687">
        <f t="shared" si="50"/>
        <v>2018</v>
      </c>
      <c r="D687">
        <f t="shared" si="51"/>
        <v>4</v>
      </c>
      <c r="E687" t="s">
        <v>63</v>
      </c>
      <c r="F687" t="s">
        <v>248</v>
      </c>
      <c r="G687" s="14">
        <v>74462</v>
      </c>
      <c r="H687" t="s">
        <v>40</v>
      </c>
      <c r="I687" t="s">
        <v>180</v>
      </c>
      <c r="J687" t="s">
        <v>827</v>
      </c>
      <c r="K687">
        <f t="shared" si="52"/>
        <v>1</v>
      </c>
      <c r="L687">
        <f t="shared" si="53"/>
        <v>0</v>
      </c>
      <c r="M687">
        <f t="shared" si="54"/>
        <v>1</v>
      </c>
    </row>
    <row r="688" spans="1:13">
      <c r="A688">
        <v>809</v>
      </c>
      <c r="B688" s="13">
        <v>43199</v>
      </c>
      <c r="C688">
        <f t="shared" si="50"/>
        <v>2018</v>
      </c>
      <c r="D688">
        <f t="shared" si="51"/>
        <v>4</v>
      </c>
      <c r="E688" t="s">
        <v>94</v>
      </c>
      <c r="F688" t="s">
        <v>95</v>
      </c>
      <c r="G688" s="14">
        <v>71984</v>
      </c>
      <c r="H688" t="s">
        <v>40</v>
      </c>
      <c r="I688" t="s">
        <v>180</v>
      </c>
      <c r="J688" t="s">
        <v>828</v>
      </c>
      <c r="K688">
        <f t="shared" si="52"/>
        <v>1</v>
      </c>
      <c r="L688">
        <f t="shared" si="53"/>
        <v>0</v>
      </c>
      <c r="M688">
        <f t="shared" si="54"/>
        <v>1</v>
      </c>
    </row>
    <row r="689" spans="1:13">
      <c r="A689">
        <v>159</v>
      </c>
      <c r="B689" s="13">
        <v>43202</v>
      </c>
      <c r="C689">
        <f t="shared" si="50"/>
        <v>2018</v>
      </c>
      <c r="D689">
        <f t="shared" si="51"/>
        <v>4</v>
      </c>
      <c r="E689" t="s">
        <v>47</v>
      </c>
      <c r="F689" t="s">
        <v>116</v>
      </c>
      <c r="G689" s="14">
        <v>65529</v>
      </c>
      <c r="H689" t="s">
        <v>60</v>
      </c>
      <c r="I689" t="s">
        <v>199</v>
      </c>
      <c r="J689" t="s">
        <v>829</v>
      </c>
      <c r="K689">
        <f t="shared" si="52"/>
        <v>1</v>
      </c>
      <c r="L689">
        <f t="shared" si="53"/>
        <v>0</v>
      </c>
      <c r="M689">
        <f t="shared" si="54"/>
        <v>1</v>
      </c>
    </row>
    <row r="690" spans="1:13">
      <c r="A690">
        <v>753</v>
      </c>
      <c r="B690" s="13">
        <v>43205</v>
      </c>
      <c r="C690">
        <f t="shared" si="50"/>
        <v>2018</v>
      </c>
      <c r="D690">
        <f t="shared" si="51"/>
        <v>4</v>
      </c>
      <c r="E690" t="s">
        <v>76</v>
      </c>
      <c r="F690" t="s">
        <v>77</v>
      </c>
      <c r="G690" s="14">
        <v>42652</v>
      </c>
      <c r="H690" t="s">
        <v>40</v>
      </c>
      <c r="I690" t="s">
        <v>144</v>
      </c>
      <c r="J690" t="s">
        <v>830</v>
      </c>
      <c r="K690">
        <f t="shared" si="52"/>
        <v>1</v>
      </c>
      <c r="L690">
        <f t="shared" si="53"/>
        <v>0</v>
      </c>
      <c r="M690">
        <f t="shared" si="54"/>
        <v>1</v>
      </c>
    </row>
    <row r="691" spans="1:13">
      <c r="A691">
        <v>47</v>
      </c>
      <c r="B691" s="13">
        <v>43210</v>
      </c>
      <c r="C691">
        <f t="shared" si="50"/>
        <v>2018</v>
      </c>
      <c r="D691">
        <f t="shared" si="51"/>
        <v>4</v>
      </c>
      <c r="E691" t="s">
        <v>73</v>
      </c>
      <c r="F691" t="s">
        <v>74</v>
      </c>
      <c r="G691" s="14">
        <v>52679</v>
      </c>
      <c r="H691" t="s">
        <v>53</v>
      </c>
      <c r="I691" t="s">
        <v>68</v>
      </c>
      <c r="J691" t="s">
        <v>831</v>
      </c>
      <c r="K691">
        <f t="shared" si="52"/>
        <v>1</v>
      </c>
      <c r="L691">
        <f t="shared" si="53"/>
        <v>0</v>
      </c>
      <c r="M691">
        <f t="shared" si="54"/>
        <v>1</v>
      </c>
    </row>
    <row r="692" spans="1:13">
      <c r="A692">
        <v>403</v>
      </c>
      <c r="B692" s="13">
        <v>43210</v>
      </c>
      <c r="C692">
        <f t="shared" si="50"/>
        <v>2018</v>
      </c>
      <c r="D692">
        <f t="shared" si="51"/>
        <v>4</v>
      </c>
      <c r="E692" t="s">
        <v>47</v>
      </c>
      <c r="F692" t="s">
        <v>155</v>
      </c>
      <c r="G692" s="14">
        <v>68935</v>
      </c>
      <c r="H692" t="s">
        <v>60</v>
      </c>
      <c r="I692" t="s">
        <v>61</v>
      </c>
      <c r="J692" t="s">
        <v>832</v>
      </c>
      <c r="K692">
        <f t="shared" si="52"/>
        <v>1</v>
      </c>
      <c r="L692">
        <f t="shared" si="53"/>
        <v>0</v>
      </c>
      <c r="M692">
        <f t="shared" si="54"/>
        <v>1</v>
      </c>
    </row>
    <row r="693" spans="1:13">
      <c r="A693">
        <v>642</v>
      </c>
      <c r="B693" s="13">
        <v>43216</v>
      </c>
      <c r="C693">
        <f t="shared" si="50"/>
        <v>2018</v>
      </c>
      <c r="D693">
        <f t="shared" si="51"/>
        <v>4</v>
      </c>
      <c r="E693" t="s">
        <v>63</v>
      </c>
      <c r="F693" t="s">
        <v>179</v>
      </c>
      <c r="G693" s="14">
        <v>64435</v>
      </c>
      <c r="H693" t="s">
        <v>40</v>
      </c>
      <c r="I693" t="s">
        <v>180</v>
      </c>
      <c r="J693" t="s">
        <v>833</v>
      </c>
      <c r="K693">
        <f t="shared" si="52"/>
        <v>1</v>
      </c>
      <c r="L693">
        <f t="shared" si="53"/>
        <v>0</v>
      </c>
      <c r="M693">
        <f t="shared" si="54"/>
        <v>1</v>
      </c>
    </row>
    <row r="694" spans="1:13">
      <c r="A694">
        <v>173</v>
      </c>
      <c r="B694" s="13">
        <v>43221</v>
      </c>
      <c r="C694">
        <f t="shared" si="50"/>
        <v>2018</v>
      </c>
      <c r="D694">
        <f t="shared" si="51"/>
        <v>5</v>
      </c>
      <c r="E694" t="s">
        <v>73</v>
      </c>
      <c r="F694" t="s">
        <v>102</v>
      </c>
      <c r="G694" s="14">
        <v>61559</v>
      </c>
      <c r="H694" t="s">
        <v>53</v>
      </c>
      <c r="I694" t="s">
        <v>92</v>
      </c>
      <c r="J694" t="s">
        <v>834</v>
      </c>
      <c r="K694">
        <f t="shared" si="52"/>
        <v>1</v>
      </c>
      <c r="L694">
        <f t="shared" si="53"/>
        <v>0</v>
      </c>
      <c r="M694">
        <f t="shared" si="54"/>
        <v>1</v>
      </c>
    </row>
    <row r="695" spans="1:13">
      <c r="A695">
        <v>570</v>
      </c>
      <c r="B695" s="13">
        <v>43223</v>
      </c>
      <c r="C695">
        <f t="shared" si="50"/>
        <v>2018</v>
      </c>
      <c r="D695">
        <f t="shared" si="51"/>
        <v>5</v>
      </c>
      <c r="E695" t="s">
        <v>38</v>
      </c>
      <c r="F695" t="s">
        <v>126</v>
      </c>
      <c r="G695" s="14">
        <v>64105</v>
      </c>
      <c r="H695" t="s">
        <v>81</v>
      </c>
      <c r="I695" t="s">
        <v>108</v>
      </c>
      <c r="J695" t="s">
        <v>835</v>
      </c>
      <c r="K695">
        <f t="shared" si="52"/>
        <v>1</v>
      </c>
      <c r="L695">
        <f t="shared" si="53"/>
        <v>0</v>
      </c>
      <c r="M695">
        <f t="shared" si="54"/>
        <v>1</v>
      </c>
    </row>
    <row r="696" spans="1:13">
      <c r="A696">
        <v>935</v>
      </c>
      <c r="B696" s="13">
        <v>43224</v>
      </c>
      <c r="C696">
        <f t="shared" si="50"/>
        <v>2018</v>
      </c>
      <c r="D696">
        <f t="shared" si="51"/>
        <v>5</v>
      </c>
      <c r="E696" t="s">
        <v>73</v>
      </c>
      <c r="F696" t="s">
        <v>140</v>
      </c>
      <c r="G696" s="14">
        <v>64196</v>
      </c>
      <c r="H696" t="s">
        <v>60</v>
      </c>
      <c r="I696" t="s">
        <v>188</v>
      </c>
      <c r="J696" t="s">
        <v>836</v>
      </c>
      <c r="K696">
        <f t="shared" si="52"/>
        <v>1</v>
      </c>
      <c r="L696">
        <f t="shared" si="53"/>
        <v>0</v>
      </c>
      <c r="M696">
        <f t="shared" si="54"/>
        <v>1</v>
      </c>
    </row>
    <row r="697" spans="1:13">
      <c r="A697">
        <v>369</v>
      </c>
      <c r="B697" s="13">
        <v>43228</v>
      </c>
      <c r="C697">
        <f t="shared" si="50"/>
        <v>2018</v>
      </c>
      <c r="D697">
        <f t="shared" si="51"/>
        <v>5</v>
      </c>
      <c r="E697" t="s">
        <v>76</v>
      </c>
      <c r="F697" t="s">
        <v>110</v>
      </c>
      <c r="G697" s="14">
        <v>71913</v>
      </c>
      <c r="H697" t="s">
        <v>57</v>
      </c>
      <c r="I697" t="s">
        <v>160</v>
      </c>
      <c r="J697" t="s">
        <v>837</v>
      </c>
      <c r="K697">
        <f t="shared" si="52"/>
        <v>1</v>
      </c>
      <c r="L697">
        <f t="shared" si="53"/>
        <v>0</v>
      </c>
      <c r="M697">
        <f t="shared" si="54"/>
        <v>1</v>
      </c>
    </row>
    <row r="698" spans="1:13">
      <c r="A698">
        <v>91</v>
      </c>
      <c r="B698" s="13">
        <v>43233</v>
      </c>
      <c r="C698">
        <f t="shared" si="50"/>
        <v>2018</v>
      </c>
      <c r="D698">
        <f t="shared" si="51"/>
        <v>5</v>
      </c>
      <c r="E698" t="s">
        <v>73</v>
      </c>
      <c r="F698" t="s">
        <v>140</v>
      </c>
      <c r="G698" s="14">
        <v>69163</v>
      </c>
      <c r="H698" t="s">
        <v>53</v>
      </c>
      <c r="I698" t="s">
        <v>68</v>
      </c>
      <c r="J698" t="s">
        <v>838</v>
      </c>
      <c r="K698">
        <f t="shared" si="52"/>
        <v>1</v>
      </c>
      <c r="L698">
        <f t="shared" si="53"/>
        <v>0</v>
      </c>
      <c r="M698">
        <f t="shared" si="54"/>
        <v>1</v>
      </c>
    </row>
    <row r="699" spans="1:13">
      <c r="A699">
        <v>82</v>
      </c>
      <c r="B699" s="13">
        <v>43238</v>
      </c>
      <c r="C699">
        <f t="shared" si="50"/>
        <v>2018</v>
      </c>
      <c r="D699">
        <f t="shared" si="51"/>
        <v>5</v>
      </c>
      <c r="E699" t="s">
        <v>47</v>
      </c>
      <c r="F699" t="s">
        <v>132</v>
      </c>
      <c r="G699" s="14">
        <v>56530</v>
      </c>
      <c r="H699" t="s">
        <v>49</v>
      </c>
      <c r="I699" t="s">
        <v>151</v>
      </c>
      <c r="J699" t="s">
        <v>839</v>
      </c>
      <c r="K699">
        <f t="shared" si="52"/>
        <v>1</v>
      </c>
      <c r="L699">
        <f t="shared" si="53"/>
        <v>0</v>
      </c>
      <c r="M699">
        <f t="shared" si="54"/>
        <v>1</v>
      </c>
    </row>
    <row r="700" spans="1:13">
      <c r="A700">
        <v>328</v>
      </c>
      <c r="B700" s="13">
        <v>43239</v>
      </c>
      <c r="C700">
        <f t="shared" si="50"/>
        <v>2018</v>
      </c>
      <c r="D700">
        <f t="shared" si="51"/>
        <v>5</v>
      </c>
      <c r="E700" t="s">
        <v>47</v>
      </c>
      <c r="F700" t="s">
        <v>136</v>
      </c>
      <c r="G700" s="14">
        <v>40365</v>
      </c>
      <c r="H700" t="s">
        <v>53</v>
      </c>
      <c r="I700" t="s">
        <v>68</v>
      </c>
      <c r="J700" t="s">
        <v>840</v>
      </c>
      <c r="K700">
        <f t="shared" si="52"/>
        <v>1</v>
      </c>
      <c r="L700">
        <f t="shared" si="53"/>
        <v>0</v>
      </c>
      <c r="M700">
        <f t="shared" si="54"/>
        <v>1</v>
      </c>
    </row>
    <row r="701" spans="1:13">
      <c r="A701">
        <v>138</v>
      </c>
      <c r="B701" s="13">
        <v>43240</v>
      </c>
      <c r="C701">
        <f t="shared" si="50"/>
        <v>2018</v>
      </c>
      <c r="D701">
        <f t="shared" si="51"/>
        <v>5</v>
      </c>
      <c r="E701" t="s">
        <v>47</v>
      </c>
      <c r="F701" t="s">
        <v>52</v>
      </c>
      <c r="G701" s="14">
        <v>53961</v>
      </c>
      <c r="H701" t="s">
        <v>53</v>
      </c>
      <c r="I701" t="s">
        <v>120</v>
      </c>
      <c r="J701" t="s">
        <v>841</v>
      </c>
      <c r="K701">
        <f t="shared" si="52"/>
        <v>1</v>
      </c>
      <c r="L701">
        <f t="shared" si="53"/>
        <v>0</v>
      </c>
      <c r="M701">
        <f t="shared" si="54"/>
        <v>1</v>
      </c>
    </row>
    <row r="702" spans="1:13">
      <c r="A702">
        <v>226</v>
      </c>
      <c r="B702" s="13">
        <v>43244</v>
      </c>
      <c r="C702">
        <f t="shared" si="50"/>
        <v>2018</v>
      </c>
      <c r="D702">
        <f t="shared" si="51"/>
        <v>5</v>
      </c>
      <c r="E702" t="s">
        <v>73</v>
      </c>
      <c r="F702" t="s">
        <v>119</v>
      </c>
      <c r="G702" s="14">
        <v>59520</v>
      </c>
      <c r="H702" t="s">
        <v>53</v>
      </c>
      <c r="I702" t="s">
        <v>92</v>
      </c>
      <c r="J702" t="s">
        <v>842</v>
      </c>
      <c r="K702">
        <f t="shared" si="52"/>
        <v>1</v>
      </c>
      <c r="L702">
        <f t="shared" si="53"/>
        <v>0</v>
      </c>
      <c r="M702">
        <f t="shared" si="54"/>
        <v>1</v>
      </c>
    </row>
    <row r="703" spans="1:13">
      <c r="A703">
        <v>972</v>
      </c>
      <c r="B703" s="13">
        <v>43246</v>
      </c>
      <c r="C703">
        <f t="shared" si="50"/>
        <v>2018</v>
      </c>
      <c r="D703">
        <f t="shared" si="51"/>
        <v>5</v>
      </c>
      <c r="E703" t="s">
        <v>94</v>
      </c>
      <c r="F703" t="s">
        <v>328</v>
      </c>
      <c r="G703" s="14">
        <v>70074</v>
      </c>
      <c r="H703" t="s">
        <v>60</v>
      </c>
      <c r="I703" t="s">
        <v>114</v>
      </c>
      <c r="J703" t="s">
        <v>806</v>
      </c>
      <c r="K703">
        <f t="shared" si="52"/>
        <v>1</v>
      </c>
      <c r="L703">
        <f t="shared" si="53"/>
        <v>0</v>
      </c>
      <c r="M703">
        <f t="shared" si="54"/>
        <v>1</v>
      </c>
    </row>
    <row r="704" spans="1:13">
      <c r="A704">
        <v>965</v>
      </c>
      <c r="B704" s="13">
        <v>43247</v>
      </c>
      <c r="C704">
        <f t="shared" si="50"/>
        <v>2018</v>
      </c>
      <c r="D704">
        <f t="shared" si="51"/>
        <v>5</v>
      </c>
      <c r="E704" t="s">
        <v>63</v>
      </c>
      <c r="F704" t="s">
        <v>105</v>
      </c>
      <c r="G704" s="14">
        <v>46979</v>
      </c>
      <c r="H704" t="s">
        <v>57</v>
      </c>
      <c r="I704" t="s">
        <v>106</v>
      </c>
      <c r="J704" t="s">
        <v>843</v>
      </c>
      <c r="K704">
        <f t="shared" si="52"/>
        <v>1</v>
      </c>
      <c r="L704">
        <f t="shared" si="53"/>
        <v>0</v>
      </c>
      <c r="M704">
        <f t="shared" si="54"/>
        <v>1</v>
      </c>
    </row>
    <row r="705" spans="1:13">
      <c r="A705">
        <v>729</v>
      </c>
      <c r="B705" s="13">
        <v>43248</v>
      </c>
      <c r="C705">
        <f t="shared" si="50"/>
        <v>2018</v>
      </c>
      <c r="D705">
        <f t="shared" si="51"/>
        <v>5</v>
      </c>
      <c r="E705" t="s">
        <v>73</v>
      </c>
      <c r="F705" t="s">
        <v>74</v>
      </c>
      <c r="G705" s="14">
        <v>56342</v>
      </c>
      <c r="H705" t="s">
        <v>40</v>
      </c>
      <c r="I705" t="s">
        <v>85</v>
      </c>
      <c r="J705" t="s">
        <v>844</v>
      </c>
      <c r="K705">
        <f t="shared" si="52"/>
        <v>1</v>
      </c>
      <c r="L705">
        <f t="shared" si="53"/>
        <v>0</v>
      </c>
      <c r="M705">
        <f t="shared" si="54"/>
        <v>1</v>
      </c>
    </row>
    <row r="706" spans="1:13">
      <c r="A706">
        <v>514</v>
      </c>
      <c r="B706" s="13">
        <v>43251</v>
      </c>
      <c r="C706">
        <f t="shared" ref="C706:C769" si="55">YEAR(B706)</f>
        <v>2018</v>
      </c>
      <c r="D706">
        <f t="shared" ref="D706:D769" si="56">MONTH(B706)</f>
        <v>5</v>
      </c>
      <c r="E706" t="s">
        <v>43</v>
      </c>
      <c r="F706" t="s">
        <v>70</v>
      </c>
      <c r="G706" s="14">
        <v>79327</v>
      </c>
      <c r="H706" t="s">
        <v>49</v>
      </c>
      <c r="I706" t="s">
        <v>122</v>
      </c>
      <c r="J706" t="s">
        <v>845</v>
      </c>
      <c r="K706">
        <f t="shared" ref="K706:K769" si="57">IF(AND(OR(sel_ano="Todos",C706=sel_ano),OR(sel_pais="Todos",H706=sel_pais),OR(sel_marca="Todas",E706=sel_marca)),1,0)</f>
        <v>1</v>
      </c>
      <c r="L706">
        <f t="shared" ref="L706:L769" si="58">IF(sel_ano="Todos",0,IF(AND(C706=sel_ano-1,OR(sel_pais="Todos",H706=sel_pais),OR(sel_marca="Todas",E706=sel_marca)),1,0))</f>
        <v>0</v>
      </c>
      <c r="M706">
        <f t="shared" ref="M706:M769" si="59">IF(AND(OR(sel_pais="Todos",H706=sel_pais),OR(sel_marca="Todas",E706=sel_marca)),1,0)</f>
        <v>1</v>
      </c>
    </row>
    <row r="707" spans="1:13">
      <c r="A707">
        <v>958</v>
      </c>
      <c r="B707" s="13">
        <v>43254</v>
      </c>
      <c r="C707">
        <f t="shared" si="55"/>
        <v>2018</v>
      </c>
      <c r="D707">
        <f t="shared" si="56"/>
        <v>6</v>
      </c>
      <c r="E707" t="s">
        <v>73</v>
      </c>
      <c r="F707" t="s">
        <v>150</v>
      </c>
      <c r="G707" s="14">
        <v>40942</v>
      </c>
      <c r="H707" t="s">
        <v>60</v>
      </c>
      <c r="I707" t="s">
        <v>61</v>
      </c>
      <c r="J707" t="s">
        <v>846</v>
      </c>
      <c r="K707">
        <f t="shared" si="57"/>
        <v>1</v>
      </c>
      <c r="L707">
        <f t="shared" si="58"/>
        <v>0</v>
      </c>
      <c r="M707">
        <f t="shared" si="59"/>
        <v>1</v>
      </c>
    </row>
    <row r="708" spans="1:13">
      <c r="A708">
        <v>725</v>
      </c>
      <c r="B708" s="13">
        <v>43259</v>
      </c>
      <c r="C708">
        <f t="shared" si="55"/>
        <v>2018</v>
      </c>
      <c r="D708">
        <f t="shared" si="56"/>
        <v>6</v>
      </c>
      <c r="E708" t="s">
        <v>43</v>
      </c>
      <c r="F708" t="s">
        <v>197</v>
      </c>
      <c r="G708" s="14">
        <v>60919</v>
      </c>
      <c r="H708" t="s">
        <v>49</v>
      </c>
      <c r="I708" t="s">
        <v>50</v>
      </c>
      <c r="J708" t="s">
        <v>847</v>
      </c>
      <c r="K708">
        <f t="shared" si="57"/>
        <v>1</v>
      </c>
      <c r="L708">
        <f t="shared" si="58"/>
        <v>0</v>
      </c>
      <c r="M708">
        <f t="shared" si="59"/>
        <v>1</v>
      </c>
    </row>
    <row r="709" spans="1:13">
      <c r="A709">
        <v>912</v>
      </c>
      <c r="B709" s="13">
        <v>43259</v>
      </c>
      <c r="C709">
        <f t="shared" si="55"/>
        <v>2018</v>
      </c>
      <c r="D709">
        <f t="shared" si="56"/>
        <v>6</v>
      </c>
      <c r="E709" t="s">
        <v>38</v>
      </c>
      <c r="F709" t="s">
        <v>112</v>
      </c>
      <c r="G709" s="14">
        <v>42011</v>
      </c>
      <c r="H709" t="s">
        <v>81</v>
      </c>
      <c r="I709" t="s">
        <v>82</v>
      </c>
      <c r="J709" t="s">
        <v>848</v>
      </c>
      <c r="K709">
        <f t="shared" si="57"/>
        <v>1</v>
      </c>
      <c r="L709">
        <f t="shared" si="58"/>
        <v>0</v>
      </c>
      <c r="M709">
        <f t="shared" si="59"/>
        <v>1</v>
      </c>
    </row>
    <row r="710" spans="1:13">
      <c r="A710">
        <v>839</v>
      </c>
      <c r="B710" s="13">
        <v>43261</v>
      </c>
      <c r="C710">
        <f t="shared" si="55"/>
        <v>2018</v>
      </c>
      <c r="D710">
        <f t="shared" si="56"/>
        <v>6</v>
      </c>
      <c r="E710" t="s">
        <v>47</v>
      </c>
      <c r="F710" t="s">
        <v>48</v>
      </c>
      <c r="G710" s="14">
        <v>56859</v>
      </c>
      <c r="H710" t="s">
        <v>60</v>
      </c>
      <c r="I710" t="s">
        <v>61</v>
      </c>
      <c r="J710" t="s">
        <v>849</v>
      </c>
      <c r="K710">
        <f t="shared" si="57"/>
        <v>1</v>
      </c>
      <c r="L710">
        <f t="shared" si="58"/>
        <v>0</v>
      </c>
      <c r="M710">
        <f t="shared" si="59"/>
        <v>1</v>
      </c>
    </row>
    <row r="711" spans="1:13">
      <c r="A711">
        <v>588</v>
      </c>
      <c r="B711" s="13">
        <v>43262</v>
      </c>
      <c r="C711">
        <f t="shared" si="55"/>
        <v>2018</v>
      </c>
      <c r="D711">
        <f t="shared" si="56"/>
        <v>6</v>
      </c>
      <c r="E711" t="s">
        <v>47</v>
      </c>
      <c r="F711" t="s">
        <v>132</v>
      </c>
      <c r="G711" s="14">
        <v>70694</v>
      </c>
      <c r="H711" t="s">
        <v>49</v>
      </c>
      <c r="I711" t="s">
        <v>96</v>
      </c>
      <c r="J711" t="s">
        <v>850</v>
      </c>
      <c r="K711">
        <f t="shared" si="57"/>
        <v>1</v>
      </c>
      <c r="L711">
        <f t="shared" si="58"/>
        <v>0</v>
      </c>
      <c r="M711">
        <f t="shared" si="59"/>
        <v>1</v>
      </c>
    </row>
    <row r="712" spans="1:13">
      <c r="A712">
        <v>625</v>
      </c>
      <c r="B712" s="13">
        <v>43263</v>
      </c>
      <c r="C712">
        <f t="shared" si="55"/>
        <v>2018</v>
      </c>
      <c r="D712">
        <f t="shared" si="56"/>
        <v>6</v>
      </c>
      <c r="E712" t="s">
        <v>76</v>
      </c>
      <c r="F712" t="s">
        <v>138</v>
      </c>
      <c r="G712" s="14">
        <v>46463</v>
      </c>
      <c r="H712" t="s">
        <v>40</v>
      </c>
      <c r="I712" t="s">
        <v>158</v>
      </c>
      <c r="J712" t="s">
        <v>851</v>
      </c>
      <c r="K712">
        <f t="shared" si="57"/>
        <v>1</v>
      </c>
      <c r="L712">
        <f t="shared" si="58"/>
        <v>0</v>
      </c>
      <c r="M712">
        <f t="shared" si="59"/>
        <v>1</v>
      </c>
    </row>
    <row r="713" spans="1:13">
      <c r="A713">
        <v>614</v>
      </c>
      <c r="B713" s="13">
        <v>43265</v>
      </c>
      <c r="C713">
        <f t="shared" si="55"/>
        <v>2018</v>
      </c>
      <c r="D713">
        <f t="shared" si="56"/>
        <v>6</v>
      </c>
      <c r="E713" t="s">
        <v>38</v>
      </c>
      <c r="F713" t="s">
        <v>165</v>
      </c>
      <c r="G713" s="14">
        <v>42978</v>
      </c>
      <c r="H713" t="s">
        <v>81</v>
      </c>
      <c r="I713" t="s">
        <v>146</v>
      </c>
      <c r="J713" t="s">
        <v>852</v>
      </c>
      <c r="K713">
        <f t="shared" si="57"/>
        <v>1</v>
      </c>
      <c r="L713">
        <f t="shared" si="58"/>
        <v>0</v>
      </c>
      <c r="M713">
        <f t="shared" si="59"/>
        <v>1</v>
      </c>
    </row>
    <row r="714" spans="1:13">
      <c r="A714">
        <v>656</v>
      </c>
      <c r="B714" s="13">
        <v>43270</v>
      </c>
      <c r="C714">
        <f t="shared" si="55"/>
        <v>2018</v>
      </c>
      <c r="D714">
        <f t="shared" si="56"/>
        <v>6</v>
      </c>
      <c r="E714" t="s">
        <v>43</v>
      </c>
      <c r="F714" t="s">
        <v>44</v>
      </c>
      <c r="G714" s="14">
        <v>45776</v>
      </c>
      <c r="H714" t="s">
        <v>40</v>
      </c>
      <c r="I714" t="s">
        <v>158</v>
      </c>
      <c r="J714" t="s">
        <v>853</v>
      </c>
      <c r="K714">
        <f t="shared" si="57"/>
        <v>1</v>
      </c>
      <c r="L714">
        <f t="shared" si="58"/>
        <v>0</v>
      </c>
      <c r="M714">
        <f t="shared" si="59"/>
        <v>1</v>
      </c>
    </row>
    <row r="715" spans="1:13">
      <c r="A715">
        <v>366</v>
      </c>
      <c r="B715" s="13">
        <v>43276</v>
      </c>
      <c r="C715">
        <f t="shared" si="55"/>
        <v>2018</v>
      </c>
      <c r="D715">
        <f t="shared" si="56"/>
        <v>6</v>
      </c>
      <c r="E715" t="s">
        <v>63</v>
      </c>
      <c r="F715" t="s">
        <v>425</v>
      </c>
      <c r="G715" s="14">
        <v>72321</v>
      </c>
      <c r="H715" t="s">
        <v>60</v>
      </c>
      <c r="I715" t="s">
        <v>199</v>
      </c>
      <c r="J715" t="s">
        <v>854</v>
      </c>
      <c r="K715">
        <f t="shared" si="57"/>
        <v>1</v>
      </c>
      <c r="L715">
        <f t="shared" si="58"/>
        <v>0</v>
      </c>
      <c r="M715">
        <f t="shared" si="59"/>
        <v>1</v>
      </c>
    </row>
    <row r="716" spans="1:13">
      <c r="A716">
        <v>957</v>
      </c>
      <c r="B716" s="13">
        <v>43276</v>
      </c>
      <c r="C716">
        <f t="shared" si="55"/>
        <v>2018</v>
      </c>
      <c r="D716">
        <f t="shared" si="56"/>
        <v>6</v>
      </c>
      <c r="E716" t="s">
        <v>73</v>
      </c>
      <c r="F716" t="s">
        <v>102</v>
      </c>
      <c r="G716" s="14">
        <v>61277</v>
      </c>
      <c r="H716" t="s">
        <v>57</v>
      </c>
      <c r="I716" t="s">
        <v>65</v>
      </c>
      <c r="J716" t="s">
        <v>855</v>
      </c>
      <c r="K716">
        <f t="shared" si="57"/>
        <v>1</v>
      </c>
      <c r="L716">
        <f t="shared" si="58"/>
        <v>0</v>
      </c>
      <c r="M716">
        <f t="shared" si="59"/>
        <v>1</v>
      </c>
    </row>
    <row r="717" spans="1:13">
      <c r="A717">
        <v>408</v>
      </c>
      <c r="B717" s="13">
        <v>43277</v>
      </c>
      <c r="C717">
        <f t="shared" si="55"/>
        <v>2018</v>
      </c>
      <c r="D717">
        <f t="shared" si="56"/>
        <v>6</v>
      </c>
      <c r="E717" t="s">
        <v>76</v>
      </c>
      <c r="F717" t="s">
        <v>207</v>
      </c>
      <c r="G717" s="14">
        <v>67835</v>
      </c>
      <c r="H717" t="s">
        <v>40</v>
      </c>
      <c r="I717" t="s">
        <v>444</v>
      </c>
      <c r="J717" t="s">
        <v>856</v>
      </c>
      <c r="K717">
        <f t="shared" si="57"/>
        <v>1</v>
      </c>
      <c r="L717">
        <f t="shared" si="58"/>
        <v>0</v>
      </c>
      <c r="M717">
        <f t="shared" si="59"/>
        <v>1</v>
      </c>
    </row>
    <row r="718" spans="1:13">
      <c r="A718">
        <v>973</v>
      </c>
      <c r="B718" s="13">
        <v>43277</v>
      </c>
      <c r="C718">
        <f t="shared" si="55"/>
        <v>2018</v>
      </c>
      <c r="D718">
        <f t="shared" si="56"/>
        <v>6</v>
      </c>
      <c r="E718" t="s">
        <v>94</v>
      </c>
      <c r="F718" t="s">
        <v>489</v>
      </c>
      <c r="G718" s="14">
        <v>55501</v>
      </c>
      <c r="H718" t="s">
        <v>60</v>
      </c>
      <c r="I718" t="s">
        <v>114</v>
      </c>
      <c r="J718" t="s">
        <v>809</v>
      </c>
      <c r="K718">
        <f t="shared" si="57"/>
        <v>1</v>
      </c>
      <c r="L718">
        <f t="shared" si="58"/>
        <v>0</v>
      </c>
      <c r="M718">
        <f t="shared" si="59"/>
        <v>1</v>
      </c>
    </row>
    <row r="719" spans="1:13">
      <c r="A719">
        <v>758</v>
      </c>
      <c r="B719" s="13">
        <v>43281</v>
      </c>
      <c r="C719">
        <f t="shared" si="55"/>
        <v>2018</v>
      </c>
      <c r="D719">
        <f t="shared" si="56"/>
        <v>6</v>
      </c>
      <c r="E719" t="s">
        <v>76</v>
      </c>
      <c r="F719" t="s">
        <v>77</v>
      </c>
      <c r="G719" s="14">
        <v>77862</v>
      </c>
      <c r="H719" t="s">
        <v>81</v>
      </c>
      <c r="I719" t="s">
        <v>153</v>
      </c>
      <c r="J719" t="s">
        <v>857</v>
      </c>
      <c r="K719">
        <f t="shared" si="57"/>
        <v>1</v>
      </c>
      <c r="L719">
        <f t="shared" si="58"/>
        <v>0</v>
      </c>
      <c r="M719">
        <f t="shared" si="59"/>
        <v>1</v>
      </c>
    </row>
    <row r="720" spans="1:13">
      <c r="A720">
        <v>969</v>
      </c>
      <c r="B720" s="13">
        <v>43286</v>
      </c>
      <c r="C720">
        <f t="shared" si="55"/>
        <v>2018</v>
      </c>
      <c r="D720">
        <f t="shared" si="56"/>
        <v>7</v>
      </c>
      <c r="E720" t="s">
        <v>43</v>
      </c>
      <c r="F720" t="s">
        <v>197</v>
      </c>
      <c r="G720" s="14">
        <v>43850</v>
      </c>
      <c r="H720" t="s">
        <v>40</v>
      </c>
      <c r="I720" t="s">
        <v>98</v>
      </c>
      <c r="J720" t="s">
        <v>858</v>
      </c>
      <c r="K720">
        <f t="shared" si="57"/>
        <v>1</v>
      </c>
      <c r="L720">
        <f t="shared" si="58"/>
        <v>0</v>
      </c>
      <c r="M720">
        <f t="shared" si="59"/>
        <v>1</v>
      </c>
    </row>
    <row r="721" spans="1:13">
      <c r="A721">
        <v>356</v>
      </c>
      <c r="B721" s="13">
        <v>43287</v>
      </c>
      <c r="C721">
        <f t="shared" si="55"/>
        <v>2018</v>
      </c>
      <c r="D721">
        <f t="shared" si="56"/>
        <v>7</v>
      </c>
      <c r="E721" t="s">
        <v>76</v>
      </c>
      <c r="F721" t="s">
        <v>77</v>
      </c>
      <c r="G721" s="14">
        <v>58492</v>
      </c>
      <c r="H721" t="s">
        <v>57</v>
      </c>
      <c r="I721" t="s">
        <v>65</v>
      </c>
      <c r="J721" t="s">
        <v>859</v>
      </c>
      <c r="K721">
        <f t="shared" si="57"/>
        <v>1</v>
      </c>
      <c r="L721">
        <f t="shared" si="58"/>
        <v>0</v>
      </c>
      <c r="M721">
        <f t="shared" si="59"/>
        <v>1</v>
      </c>
    </row>
    <row r="722" spans="1:13">
      <c r="A722">
        <v>970</v>
      </c>
      <c r="B722" s="13">
        <v>43287</v>
      </c>
      <c r="C722">
        <f t="shared" si="55"/>
        <v>2018</v>
      </c>
      <c r="D722">
        <f t="shared" si="56"/>
        <v>7</v>
      </c>
      <c r="E722" t="s">
        <v>43</v>
      </c>
      <c r="F722" t="s">
        <v>380</v>
      </c>
      <c r="G722" s="14">
        <v>71710</v>
      </c>
      <c r="H722" t="s">
        <v>40</v>
      </c>
      <c r="I722" t="s">
        <v>98</v>
      </c>
      <c r="J722" t="s">
        <v>860</v>
      </c>
      <c r="K722">
        <f t="shared" si="57"/>
        <v>1</v>
      </c>
      <c r="L722">
        <f t="shared" si="58"/>
        <v>0</v>
      </c>
      <c r="M722">
        <f t="shared" si="59"/>
        <v>1</v>
      </c>
    </row>
    <row r="723" spans="1:13">
      <c r="A723">
        <v>833</v>
      </c>
      <c r="B723" s="13">
        <v>43290</v>
      </c>
      <c r="C723">
        <f t="shared" si="55"/>
        <v>2018</v>
      </c>
      <c r="D723">
        <f t="shared" si="56"/>
        <v>7</v>
      </c>
      <c r="E723" t="s">
        <v>38</v>
      </c>
      <c r="F723" t="s">
        <v>126</v>
      </c>
      <c r="G723" s="14">
        <v>76010</v>
      </c>
      <c r="H723" t="s">
        <v>57</v>
      </c>
      <c r="I723" t="s">
        <v>106</v>
      </c>
      <c r="J723" t="s">
        <v>861</v>
      </c>
      <c r="K723">
        <f t="shared" si="57"/>
        <v>1</v>
      </c>
      <c r="L723">
        <f t="shared" si="58"/>
        <v>0</v>
      </c>
      <c r="M723">
        <f t="shared" si="59"/>
        <v>1</v>
      </c>
    </row>
    <row r="724" spans="1:13">
      <c r="A724">
        <v>984</v>
      </c>
      <c r="B724" s="13">
        <v>43290</v>
      </c>
      <c r="C724">
        <f t="shared" si="55"/>
        <v>2018</v>
      </c>
      <c r="D724">
        <f t="shared" si="56"/>
        <v>7</v>
      </c>
      <c r="E724" t="s">
        <v>47</v>
      </c>
      <c r="F724" t="s">
        <v>155</v>
      </c>
      <c r="G724" s="14">
        <v>53529</v>
      </c>
      <c r="H724" t="s">
        <v>60</v>
      </c>
      <c r="I724" t="s">
        <v>188</v>
      </c>
      <c r="J724" t="s">
        <v>713</v>
      </c>
      <c r="K724">
        <f t="shared" si="57"/>
        <v>1</v>
      </c>
      <c r="L724">
        <f t="shared" si="58"/>
        <v>0</v>
      </c>
      <c r="M724">
        <f t="shared" si="59"/>
        <v>1</v>
      </c>
    </row>
    <row r="725" spans="1:13">
      <c r="A725">
        <v>646</v>
      </c>
      <c r="B725" s="13">
        <v>43301</v>
      </c>
      <c r="C725">
        <f t="shared" si="55"/>
        <v>2018</v>
      </c>
      <c r="D725">
        <f t="shared" si="56"/>
        <v>7</v>
      </c>
      <c r="E725" t="s">
        <v>73</v>
      </c>
      <c r="F725" t="s">
        <v>150</v>
      </c>
      <c r="G725" s="14">
        <v>78311</v>
      </c>
      <c r="H725" t="s">
        <v>57</v>
      </c>
      <c r="I725" t="s">
        <v>231</v>
      </c>
      <c r="J725" t="s">
        <v>862</v>
      </c>
      <c r="K725">
        <f t="shared" si="57"/>
        <v>1</v>
      </c>
      <c r="L725">
        <f t="shared" si="58"/>
        <v>0</v>
      </c>
      <c r="M725">
        <f t="shared" si="59"/>
        <v>1</v>
      </c>
    </row>
    <row r="726" spans="1:13">
      <c r="A726">
        <v>955</v>
      </c>
      <c r="B726" s="13">
        <v>43305</v>
      </c>
      <c r="C726">
        <f t="shared" si="55"/>
        <v>2018</v>
      </c>
      <c r="D726">
        <f t="shared" si="56"/>
        <v>7</v>
      </c>
      <c r="E726" t="s">
        <v>47</v>
      </c>
      <c r="F726" t="s">
        <v>155</v>
      </c>
      <c r="G726" s="14">
        <v>41307</v>
      </c>
      <c r="H726" t="s">
        <v>49</v>
      </c>
      <c r="I726" t="s">
        <v>151</v>
      </c>
      <c r="J726" t="s">
        <v>863</v>
      </c>
      <c r="K726">
        <f t="shared" si="57"/>
        <v>1</v>
      </c>
      <c r="L726">
        <f t="shared" si="58"/>
        <v>0</v>
      </c>
      <c r="M726">
        <f t="shared" si="59"/>
        <v>1</v>
      </c>
    </row>
    <row r="727" spans="1:13">
      <c r="A727">
        <v>662</v>
      </c>
      <c r="B727" s="13">
        <v>43306</v>
      </c>
      <c r="C727">
        <f t="shared" si="55"/>
        <v>2018</v>
      </c>
      <c r="D727">
        <f t="shared" si="56"/>
        <v>7</v>
      </c>
      <c r="E727" t="s">
        <v>73</v>
      </c>
      <c r="F727" t="s">
        <v>102</v>
      </c>
      <c r="G727" s="14">
        <v>61277</v>
      </c>
      <c r="H727" t="s">
        <v>57</v>
      </c>
      <c r="I727" t="s">
        <v>65</v>
      </c>
      <c r="J727" t="s">
        <v>855</v>
      </c>
      <c r="K727">
        <f t="shared" si="57"/>
        <v>1</v>
      </c>
      <c r="L727">
        <f t="shared" si="58"/>
        <v>0</v>
      </c>
      <c r="M727">
        <f t="shared" si="59"/>
        <v>1</v>
      </c>
    </row>
    <row r="728" spans="1:13">
      <c r="A728">
        <v>974</v>
      </c>
      <c r="B728" s="13">
        <v>43307</v>
      </c>
      <c r="C728">
        <f t="shared" si="55"/>
        <v>2018</v>
      </c>
      <c r="D728">
        <f t="shared" si="56"/>
        <v>7</v>
      </c>
      <c r="E728" t="s">
        <v>94</v>
      </c>
      <c r="F728" t="s">
        <v>95</v>
      </c>
      <c r="G728" s="14">
        <v>71984</v>
      </c>
      <c r="H728" t="s">
        <v>40</v>
      </c>
      <c r="I728" t="s">
        <v>180</v>
      </c>
      <c r="J728" t="s">
        <v>828</v>
      </c>
      <c r="K728">
        <f t="shared" si="57"/>
        <v>1</v>
      </c>
      <c r="L728">
        <f t="shared" si="58"/>
        <v>0</v>
      </c>
      <c r="M728">
        <f t="shared" si="59"/>
        <v>1</v>
      </c>
    </row>
    <row r="729" spans="1:13">
      <c r="A729">
        <v>575</v>
      </c>
      <c r="B729" s="13">
        <v>43309</v>
      </c>
      <c r="C729">
        <f t="shared" si="55"/>
        <v>2018</v>
      </c>
      <c r="D729">
        <f t="shared" si="56"/>
        <v>7</v>
      </c>
      <c r="E729" t="s">
        <v>76</v>
      </c>
      <c r="F729" t="s">
        <v>129</v>
      </c>
      <c r="G729" s="14">
        <v>70033</v>
      </c>
      <c r="H729" t="s">
        <v>53</v>
      </c>
      <c r="I729" t="s">
        <v>78</v>
      </c>
      <c r="J729" t="s">
        <v>864</v>
      </c>
      <c r="K729">
        <f t="shared" si="57"/>
        <v>1</v>
      </c>
      <c r="L729">
        <f t="shared" si="58"/>
        <v>0</v>
      </c>
      <c r="M729">
        <f t="shared" si="59"/>
        <v>1</v>
      </c>
    </row>
    <row r="730" spans="1:13">
      <c r="A730">
        <v>983</v>
      </c>
      <c r="B730" s="13">
        <v>43311</v>
      </c>
      <c r="C730">
        <f t="shared" si="55"/>
        <v>2018</v>
      </c>
      <c r="D730">
        <f t="shared" si="56"/>
        <v>7</v>
      </c>
      <c r="E730" t="s">
        <v>47</v>
      </c>
      <c r="F730" t="s">
        <v>48</v>
      </c>
      <c r="G730" s="14">
        <v>57159.45</v>
      </c>
      <c r="H730" t="s">
        <v>49</v>
      </c>
      <c r="I730" t="s">
        <v>96</v>
      </c>
      <c r="J730" t="s">
        <v>706</v>
      </c>
      <c r="K730">
        <f t="shared" si="57"/>
        <v>1</v>
      </c>
      <c r="L730">
        <f t="shared" si="58"/>
        <v>0</v>
      </c>
      <c r="M730">
        <f t="shared" si="59"/>
        <v>1</v>
      </c>
    </row>
    <row r="731" spans="1:13">
      <c r="A731">
        <v>630</v>
      </c>
      <c r="B731" s="13">
        <v>43312</v>
      </c>
      <c r="C731">
        <f t="shared" si="55"/>
        <v>2018</v>
      </c>
      <c r="D731">
        <f t="shared" si="56"/>
        <v>7</v>
      </c>
      <c r="E731" t="s">
        <v>63</v>
      </c>
      <c r="F731" t="s">
        <v>425</v>
      </c>
      <c r="G731" s="14">
        <v>58444</v>
      </c>
      <c r="H731" t="s">
        <v>60</v>
      </c>
      <c r="I731" t="s">
        <v>199</v>
      </c>
      <c r="J731" t="s">
        <v>865</v>
      </c>
      <c r="K731">
        <f t="shared" si="57"/>
        <v>1</v>
      </c>
      <c r="L731">
        <f t="shared" si="58"/>
        <v>0</v>
      </c>
      <c r="M731">
        <f t="shared" si="59"/>
        <v>1</v>
      </c>
    </row>
    <row r="732" spans="1:13">
      <c r="A732">
        <v>191</v>
      </c>
      <c r="B732" s="13">
        <v>43314</v>
      </c>
      <c r="C732">
        <f t="shared" si="55"/>
        <v>2018</v>
      </c>
      <c r="D732">
        <f t="shared" si="56"/>
        <v>8</v>
      </c>
      <c r="E732" t="s">
        <v>73</v>
      </c>
      <c r="F732" t="s">
        <v>140</v>
      </c>
      <c r="G732" s="14">
        <v>79450</v>
      </c>
      <c r="H732" t="s">
        <v>60</v>
      </c>
      <c r="I732" t="s">
        <v>199</v>
      </c>
      <c r="J732" t="s">
        <v>866</v>
      </c>
      <c r="K732">
        <f t="shared" si="57"/>
        <v>1</v>
      </c>
      <c r="L732">
        <f t="shared" si="58"/>
        <v>0</v>
      </c>
      <c r="M732">
        <f t="shared" si="59"/>
        <v>1</v>
      </c>
    </row>
    <row r="733" spans="1:13">
      <c r="A733">
        <v>95</v>
      </c>
      <c r="B733" s="13">
        <v>43316</v>
      </c>
      <c r="C733">
        <f t="shared" si="55"/>
        <v>2018</v>
      </c>
      <c r="D733">
        <f t="shared" si="56"/>
        <v>8</v>
      </c>
      <c r="E733" t="s">
        <v>63</v>
      </c>
      <c r="F733" t="s">
        <v>425</v>
      </c>
      <c r="G733" s="14">
        <v>48891</v>
      </c>
      <c r="H733" t="s">
        <v>40</v>
      </c>
      <c r="I733" t="s">
        <v>180</v>
      </c>
      <c r="J733" t="s">
        <v>867</v>
      </c>
      <c r="K733">
        <f t="shared" si="57"/>
        <v>1</v>
      </c>
      <c r="L733">
        <f t="shared" si="58"/>
        <v>0</v>
      </c>
      <c r="M733">
        <f t="shared" si="59"/>
        <v>1</v>
      </c>
    </row>
    <row r="734" spans="1:13">
      <c r="A734">
        <v>45</v>
      </c>
      <c r="B734" s="13">
        <v>43324</v>
      </c>
      <c r="C734">
        <f t="shared" si="55"/>
        <v>2018</v>
      </c>
      <c r="D734">
        <f t="shared" si="56"/>
        <v>8</v>
      </c>
      <c r="E734" t="s">
        <v>76</v>
      </c>
      <c r="F734" t="s">
        <v>91</v>
      </c>
      <c r="G734" s="14">
        <v>71827</v>
      </c>
      <c r="H734" t="s">
        <v>40</v>
      </c>
      <c r="I734" t="s">
        <v>444</v>
      </c>
      <c r="J734" t="s">
        <v>868</v>
      </c>
      <c r="K734">
        <f t="shared" si="57"/>
        <v>1</v>
      </c>
      <c r="L734">
        <f t="shared" si="58"/>
        <v>0</v>
      </c>
      <c r="M734">
        <f t="shared" si="59"/>
        <v>1</v>
      </c>
    </row>
    <row r="735" spans="1:13">
      <c r="A735">
        <v>579</v>
      </c>
      <c r="B735" s="13">
        <v>43324</v>
      </c>
      <c r="C735">
        <f t="shared" si="55"/>
        <v>2018</v>
      </c>
      <c r="D735">
        <f t="shared" si="56"/>
        <v>8</v>
      </c>
      <c r="E735" t="s">
        <v>76</v>
      </c>
      <c r="F735" t="s">
        <v>294</v>
      </c>
      <c r="G735" s="14">
        <v>55713</v>
      </c>
      <c r="H735" t="s">
        <v>40</v>
      </c>
      <c r="I735" t="s">
        <v>85</v>
      </c>
      <c r="J735" t="s">
        <v>869</v>
      </c>
      <c r="K735">
        <f t="shared" si="57"/>
        <v>1</v>
      </c>
      <c r="L735">
        <f t="shared" si="58"/>
        <v>0</v>
      </c>
      <c r="M735">
        <f t="shared" si="59"/>
        <v>1</v>
      </c>
    </row>
    <row r="736" spans="1:13">
      <c r="A736">
        <v>598</v>
      </c>
      <c r="B736" s="13">
        <v>43326</v>
      </c>
      <c r="C736">
        <f t="shared" si="55"/>
        <v>2018</v>
      </c>
      <c r="D736">
        <f t="shared" si="56"/>
        <v>8</v>
      </c>
      <c r="E736" t="s">
        <v>76</v>
      </c>
      <c r="F736" t="s">
        <v>110</v>
      </c>
      <c r="G736" s="14">
        <v>61561</v>
      </c>
      <c r="H736" t="s">
        <v>81</v>
      </c>
      <c r="I736" t="s">
        <v>190</v>
      </c>
      <c r="J736" t="s">
        <v>870</v>
      </c>
      <c r="K736">
        <f t="shared" si="57"/>
        <v>1</v>
      </c>
      <c r="L736">
        <f t="shared" si="58"/>
        <v>0</v>
      </c>
      <c r="M736">
        <f t="shared" si="59"/>
        <v>1</v>
      </c>
    </row>
    <row r="737" spans="1:13">
      <c r="A737">
        <v>388</v>
      </c>
      <c r="B737" s="13">
        <v>43330</v>
      </c>
      <c r="C737">
        <f t="shared" si="55"/>
        <v>2018</v>
      </c>
      <c r="D737">
        <f t="shared" si="56"/>
        <v>8</v>
      </c>
      <c r="E737" t="s">
        <v>63</v>
      </c>
      <c r="F737" t="s">
        <v>124</v>
      </c>
      <c r="G737" s="14">
        <v>50315</v>
      </c>
      <c r="H737" t="s">
        <v>81</v>
      </c>
      <c r="I737" t="s">
        <v>190</v>
      </c>
      <c r="J737" t="s">
        <v>871</v>
      </c>
      <c r="K737">
        <f t="shared" si="57"/>
        <v>1</v>
      </c>
      <c r="L737">
        <f t="shared" si="58"/>
        <v>0</v>
      </c>
      <c r="M737">
        <f t="shared" si="59"/>
        <v>1</v>
      </c>
    </row>
    <row r="738" spans="1:13">
      <c r="A738">
        <v>593</v>
      </c>
      <c r="B738" s="13">
        <v>43330</v>
      </c>
      <c r="C738">
        <f t="shared" si="55"/>
        <v>2018</v>
      </c>
      <c r="D738">
        <f t="shared" si="56"/>
        <v>8</v>
      </c>
      <c r="E738" t="s">
        <v>43</v>
      </c>
      <c r="F738" t="s">
        <v>70</v>
      </c>
      <c r="G738" s="14">
        <v>41996</v>
      </c>
      <c r="H738" t="s">
        <v>60</v>
      </c>
      <c r="I738" t="s">
        <v>188</v>
      </c>
      <c r="J738" t="s">
        <v>872</v>
      </c>
      <c r="K738">
        <f t="shared" si="57"/>
        <v>1</v>
      </c>
      <c r="L738">
        <f t="shared" si="58"/>
        <v>0</v>
      </c>
      <c r="M738">
        <f t="shared" si="59"/>
        <v>1</v>
      </c>
    </row>
    <row r="739" spans="1:13">
      <c r="A739">
        <v>35</v>
      </c>
      <c r="B739" s="13">
        <v>43331</v>
      </c>
      <c r="C739">
        <f t="shared" si="55"/>
        <v>2018</v>
      </c>
      <c r="D739">
        <f t="shared" si="56"/>
        <v>8</v>
      </c>
      <c r="E739" t="s">
        <v>47</v>
      </c>
      <c r="F739" t="s">
        <v>52</v>
      </c>
      <c r="G739" s="14">
        <v>69997</v>
      </c>
      <c r="H739" t="s">
        <v>49</v>
      </c>
      <c r="I739" t="s">
        <v>103</v>
      </c>
      <c r="J739" t="s">
        <v>873</v>
      </c>
      <c r="K739">
        <f t="shared" si="57"/>
        <v>1</v>
      </c>
      <c r="L739">
        <f t="shared" si="58"/>
        <v>0</v>
      </c>
      <c r="M739">
        <f t="shared" si="59"/>
        <v>1</v>
      </c>
    </row>
    <row r="740" spans="1:13">
      <c r="A740">
        <v>339</v>
      </c>
      <c r="B740" s="13">
        <v>43333</v>
      </c>
      <c r="C740">
        <f t="shared" si="55"/>
        <v>2018</v>
      </c>
      <c r="D740">
        <f t="shared" si="56"/>
        <v>8</v>
      </c>
      <c r="E740" t="s">
        <v>38</v>
      </c>
      <c r="F740" t="s">
        <v>56</v>
      </c>
      <c r="G740" s="14">
        <v>77228</v>
      </c>
      <c r="H740" t="s">
        <v>81</v>
      </c>
      <c r="I740" t="s">
        <v>190</v>
      </c>
      <c r="J740" t="s">
        <v>874</v>
      </c>
      <c r="K740">
        <f t="shared" si="57"/>
        <v>1</v>
      </c>
      <c r="L740">
        <f t="shared" si="58"/>
        <v>0</v>
      </c>
      <c r="M740">
        <f t="shared" si="59"/>
        <v>1</v>
      </c>
    </row>
    <row r="741" spans="1:13">
      <c r="A741">
        <v>495</v>
      </c>
      <c r="B741" s="13">
        <v>43336</v>
      </c>
      <c r="C741">
        <f t="shared" si="55"/>
        <v>2018</v>
      </c>
      <c r="D741">
        <f t="shared" si="56"/>
        <v>8</v>
      </c>
      <c r="E741" t="s">
        <v>43</v>
      </c>
      <c r="F741" t="s">
        <v>134</v>
      </c>
      <c r="G741" s="14">
        <v>44274</v>
      </c>
      <c r="H741" t="s">
        <v>81</v>
      </c>
      <c r="I741" t="s">
        <v>190</v>
      </c>
      <c r="J741" t="s">
        <v>875</v>
      </c>
      <c r="K741">
        <f t="shared" si="57"/>
        <v>1</v>
      </c>
      <c r="L741">
        <f t="shared" si="58"/>
        <v>0</v>
      </c>
      <c r="M741">
        <f t="shared" si="59"/>
        <v>1</v>
      </c>
    </row>
    <row r="742" spans="1:13">
      <c r="A742">
        <v>220</v>
      </c>
      <c r="B742" s="13">
        <v>43338</v>
      </c>
      <c r="C742">
        <f t="shared" si="55"/>
        <v>2018</v>
      </c>
      <c r="D742">
        <f t="shared" si="56"/>
        <v>8</v>
      </c>
      <c r="E742" t="s">
        <v>47</v>
      </c>
      <c r="F742" t="s">
        <v>48</v>
      </c>
      <c r="G742" s="14">
        <v>63318</v>
      </c>
      <c r="H742" t="s">
        <v>57</v>
      </c>
      <c r="I742" t="s">
        <v>106</v>
      </c>
      <c r="J742" t="s">
        <v>876</v>
      </c>
      <c r="K742">
        <f t="shared" si="57"/>
        <v>1</v>
      </c>
      <c r="L742">
        <f t="shared" si="58"/>
        <v>0</v>
      </c>
      <c r="M742">
        <f t="shared" si="59"/>
        <v>1</v>
      </c>
    </row>
    <row r="743" spans="1:13">
      <c r="A743">
        <v>975</v>
      </c>
      <c r="B743" s="13">
        <v>43338</v>
      </c>
      <c r="C743">
        <f t="shared" si="55"/>
        <v>2018</v>
      </c>
      <c r="D743">
        <f t="shared" si="56"/>
        <v>8</v>
      </c>
      <c r="E743" t="s">
        <v>94</v>
      </c>
      <c r="F743" t="s">
        <v>328</v>
      </c>
      <c r="G743" s="14">
        <v>74755</v>
      </c>
      <c r="H743" t="s">
        <v>60</v>
      </c>
      <c r="I743" t="s">
        <v>61</v>
      </c>
      <c r="J743" t="s">
        <v>877</v>
      </c>
      <c r="K743">
        <f t="shared" si="57"/>
        <v>1</v>
      </c>
      <c r="L743">
        <f t="shared" si="58"/>
        <v>0</v>
      </c>
      <c r="M743">
        <f t="shared" si="59"/>
        <v>1</v>
      </c>
    </row>
    <row r="744" spans="1:13">
      <c r="A744">
        <v>250</v>
      </c>
      <c r="B744" s="13">
        <v>43340</v>
      </c>
      <c r="C744">
        <f t="shared" si="55"/>
        <v>2018</v>
      </c>
      <c r="D744">
        <f t="shared" si="56"/>
        <v>8</v>
      </c>
      <c r="E744" t="s">
        <v>63</v>
      </c>
      <c r="F744" t="s">
        <v>425</v>
      </c>
      <c r="G744" s="14">
        <v>41009</v>
      </c>
      <c r="H744" t="s">
        <v>40</v>
      </c>
      <c r="I744" t="s">
        <v>180</v>
      </c>
      <c r="J744" t="s">
        <v>878</v>
      </c>
      <c r="K744">
        <f t="shared" si="57"/>
        <v>1</v>
      </c>
      <c r="L744">
        <f t="shared" si="58"/>
        <v>0</v>
      </c>
      <c r="M744">
        <f t="shared" si="59"/>
        <v>1</v>
      </c>
    </row>
    <row r="745" spans="1:13">
      <c r="A745">
        <v>545</v>
      </c>
      <c r="B745" s="13">
        <v>43340</v>
      </c>
      <c r="C745">
        <f t="shared" si="55"/>
        <v>2018</v>
      </c>
      <c r="D745">
        <f t="shared" si="56"/>
        <v>8</v>
      </c>
      <c r="E745" t="s">
        <v>43</v>
      </c>
      <c r="F745" t="s">
        <v>44</v>
      </c>
      <c r="G745" s="14">
        <v>43400</v>
      </c>
      <c r="H745" t="s">
        <v>40</v>
      </c>
      <c r="I745" t="s">
        <v>98</v>
      </c>
      <c r="J745" t="s">
        <v>879</v>
      </c>
      <c r="K745">
        <f t="shared" si="57"/>
        <v>1</v>
      </c>
      <c r="L745">
        <f t="shared" si="58"/>
        <v>0</v>
      </c>
      <c r="M745">
        <f t="shared" si="59"/>
        <v>1</v>
      </c>
    </row>
    <row r="746" spans="1:13">
      <c r="A746">
        <v>257</v>
      </c>
      <c r="B746" s="13">
        <v>43346</v>
      </c>
      <c r="C746">
        <f t="shared" si="55"/>
        <v>2018</v>
      </c>
      <c r="D746">
        <f t="shared" si="56"/>
        <v>9</v>
      </c>
      <c r="E746" t="s">
        <v>73</v>
      </c>
      <c r="F746" t="s">
        <v>150</v>
      </c>
      <c r="G746" s="14">
        <v>40942</v>
      </c>
      <c r="H746" t="s">
        <v>60</v>
      </c>
      <c r="I746" t="s">
        <v>61</v>
      </c>
      <c r="J746" t="s">
        <v>846</v>
      </c>
      <c r="K746">
        <f t="shared" si="57"/>
        <v>1</v>
      </c>
      <c r="L746">
        <f t="shared" si="58"/>
        <v>0</v>
      </c>
      <c r="M746">
        <f t="shared" si="59"/>
        <v>1</v>
      </c>
    </row>
    <row r="747" spans="1:13">
      <c r="A747">
        <v>407</v>
      </c>
      <c r="B747" s="13">
        <v>43350</v>
      </c>
      <c r="C747">
        <f t="shared" si="55"/>
        <v>2018</v>
      </c>
      <c r="D747">
        <f t="shared" si="56"/>
        <v>9</v>
      </c>
      <c r="E747" t="s">
        <v>76</v>
      </c>
      <c r="F747" t="s">
        <v>77</v>
      </c>
      <c r="G747" s="14">
        <v>69932</v>
      </c>
      <c r="H747" t="s">
        <v>40</v>
      </c>
      <c r="I747" t="s">
        <v>158</v>
      </c>
      <c r="J747" t="s">
        <v>880</v>
      </c>
      <c r="K747">
        <f t="shared" si="57"/>
        <v>1</v>
      </c>
      <c r="L747">
        <f t="shared" si="58"/>
        <v>0</v>
      </c>
      <c r="M747">
        <f t="shared" si="59"/>
        <v>1</v>
      </c>
    </row>
    <row r="748" spans="1:13">
      <c r="A748">
        <v>736</v>
      </c>
      <c r="B748" s="13">
        <v>43350</v>
      </c>
      <c r="C748">
        <f t="shared" si="55"/>
        <v>2018</v>
      </c>
      <c r="D748">
        <f t="shared" si="56"/>
        <v>9</v>
      </c>
      <c r="E748" t="s">
        <v>47</v>
      </c>
      <c r="F748" t="s">
        <v>116</v>
      </c>
      <c r="G748" s="14">
        <v>75840</v>
      </c>
      <c r="H748" t="s">
        <v>53</v>
      </c>
      <c r="I748" t="s">
        <v>68</v>
      </c>
      <c r="J748" t="s">
        <v>881</v>
      </c>
      <c r="K748">
        <f t="shared" si="57"/>
        <v>1</v>
      </c>
      <c r="L748">
        <f t="shared" si="58"/>
        <v>0</v>
      </c>
      <c r="M748">
        <f t="shared" si="59"/>
        <v>1</v>
      </c>
    </row>
    <row r="749" spans="1:13">
      <c r="A749">
        <v>183</v>
      </c>
      <c r="B749" s="13">
        <v>43355</v>
      </c>
      <c r="C749">
        <f t="shared" si="55"/>
        <v>2018</v>
      </c>
      <c r="D749">
        <f t="shared" si="56"/>
        <v>9</v>
      </c>
      <c r="E749" t="s">
        <v>43</v>
      </c>
      <c r="F749" t="s">
        <v>197</v>
      </c>
      <c r="G749" s="14">
        <v>59678</v>
      </c>
      <c r="H749" t="s">
        <v>40</v>
      </c>
      <c r="I749" t="s">
        <v>98</v>
      </c>
      <c r="J749" t="s">
        <v>882</v>
      </c>
      <c r="K749">
        <f t="shared" si="57"/>
        <v>1</v>
      </c>
      <c r="L749">
        <f t="shared" si="58"/>
        <v>0</v>
      </c>
      <c r="M749">
        <f t="shared" si="59"/>
        <v>1</v>
      </c>
    </row>
    <row r="750" spans="1:13">
      <c r="A750">
        <v>182</v>
      </c>
      <c r="B750" s="13">
        <v>43359</v>
      </c>
      <c r="C750">
        <f t="shared" si="55"/>
        <v>2018</v>
      </c>
      <c r="D750">
        <f t="shared" si="56"/>
        <v>9</v>
      </c>
      <c r="E750" t="s">
        <v>76</v>
      </c>
      <c r="F750" t="s">
        <v>110</v>
      </c>
      <c r="G750" s="14">
        <v>63518</v>
      </c>
      <c r="H750" t="s">
        <v>40</v>
      </c>
      <c r="I750" t="s">
        <v>41</v>
      </c>
      <c r="J750" t="s">
        <v>883</v>
      </c>
      <c r="K750">
        <f t="shared" si="57"/>
        <v>1</v>
      </c>
      <c r="L750">
        <f t="shared" si="58"/>
        <v>0</v>
      </c>
      <c r="M750">
        <f t="shared" si="59"/>
        <v>1</v>
      </c>
    </row>
    <row r="751" spans="1:13">
      <c r="A751">
        <v>723</v>
      </c>
      <c r="B751" s="13">
        <v>43359</v>
      </c>
      <c r="C751">
        <f t="shared" si="55"/>
        <v>2018</v>
      </c>
      <c r="D751">
        <f t="shared" si="56"/>
        <v>9</v>
      </c>
      <c r="E751" t="s">
        <v>38</v>
      </c>
      <c r="F751" t="s">
        <v>80</v>
      </c>
      <c r="G751" s="14">
        <v>72491</v>
      </c>
      <c r="H751" t="s">
        <v>40</v>
      </c>
      <c r="I751" t="s">
        <v>144</v>
      </c>
      <c r="J751" t="s">
        <v>884</v>
      </c>
      <c r="K751">
        <f t="shared" si="57"/>
        <v>1</v>
      </c>
      <c r="L751">
        <f t="shared" si="58"/>
        <v>0</v>
      </c>
      <c r="M751">
        <f t="shared" si="59"/>
        <v>1</v>
      </c>
    </row>
    <row r="752" spans="1:13">
      <c r="A752">
        <v>967</v>
      </c>
      <c r="B752" s="13">
        <v>43360</v>
      </c>
      <c r="C752">
        <f t="shared" si="55"/>
        <v>2018</v>
      </c>
      <c r="D752">
        <f t="shared" si="56"/>
        <v>9</v>
      </c>
      <c r="E752" t="s">
        <v>63</v>
      </c>
      <c r="F752" t="s">
        <v>179</v>
      </c>
      <c r="G752" s="14">
        <v>77612</v>
      </c>
      <c r="H752" t="s">
        <v>81</v>
      </c>
      <c r="I752" t="s">
        <v>153</v>
      </c>
      <c r="J752" t="s">
        <v>739</v>
      </c>
      <c r="K752">
        <f t="shared" si="57"/>
        <v>1</v>
      </c>
      <c r="L752">
        <f t="shared" si="58"/>
        <v>0</v>
      </c>
      <c r="M752">
        <f t="shared" si="59"/>
        <v>1</v>
      </c>
    </row>
    <row r="753" spans="1:13">
      <c r="A753">
        <v>228</v>
      </c>
      <c r="B753" s="13">
        <v>43362</v>
      </c>
      <c r="C753">
        <f t="shared" si="55"/>
        <v>2018</v>
      </c>
      <c r="D753">
        <f t="shared" si="56"/>
        <v>9</v>
      </c>
      <c r="E753" t="s">
        <v>47</v>
      </c>
      <c r="F753" t="s">
        <v>155</v>
      </c>
      <c r="G753" s="14">
        <v>71104</v>
      </c>
      <c r="H753" t="s">
        <v>81</v>
      </c>
      <c r="I753" t="s">
        <v>153</v>
      </c>
      <c r="J753" t="s">
        <v>885</v>
      </c>
      <c r="K753">
        <f t="shared" si="57"/>
        <v>1</v>
      </c>
      <c r="L753">
        <f t="shared" si="58"/>
        <v>0</v>
      </c>
      <c r="M753">
        <f t="shared" si="59"/>
        <v>1</v>
      </c>
    </row>
    <row r="754" spans="1:13">
      <c r="A754">
        <v>976</v>
      </c>
      <c r="B754" s="13">
        <v>43369</v>
      </c>
      <c r="C754">
        <f t="shared" si="55"/>
        <v>2018</v>
      </c>
      <c r="D754">
        <f t="shared" si="56"/>
        <v>9</v>
      </c>
      <c r="E754" t="s">
        <v>94</v>
      </c>
      <c r="F754" t="s">
        <v>95</v>
      </c>
      <c r="G754" s="14">
        <v>52057</v>
      </c>
      <c r="H754" t="s">
        <v>57</v>
      </c>
      <c r="I754" t="s">
        <v>65</v>
      </c>
      <c r="J754" t="s">
        <v>886</v>
      </c>
      <c r="K754">
        <f t="shared" si="57"/>
        <v>1</v>
      </c>
      <c r="L754">
        <f t="shared" si="58"/>
        <v>0</v>
      </c>
      <c r="M754">
        <f t="shared" si="59"/>
        <v>1</v>
      </c>
    </row>
    <row r="755" spans="1:13">
      <c r="A755">
        <v>422</v>
      </c>
      <c r="B755" s="13">
        <v>43371</v>
      </c>
      <c r="C755">
        <f t="shared" si="55"/>
        <v>2018</v>
      </c>
      <c r="D755">
        <f t="shared" si="56"/>
        <v>9</v>
      </c>
      <c r="E755" t="s">
        <v>47</v>
      </c>
      <c r="F755" t="s">
        <v>182</v>
      </c>
      <c r="G755" s="14">
        <v>55154</v>
      </c>
      <c r="H755" t="s">
        <v>53</v>
      </c>
      <c r="I755" t="s">
        <v>120</v>
      </c>
      <c r="J755" t="s">
        <v>887</v>
      </c>
      <c r="K755">
        <f t="shared" si="57"/>
        <v>1</v>
      </c>
      <c r="L755">
        <f t="shared" si="58"/>
        <v>0</v>
      </c>
      <c r="M755">
        <f t="shared" si="59"/>
        <v>1</v>
      </c>
    </row>
    <row r="756" spans="1:13">
      <c r="A756">
        <v>790</v>
      </c>
      <c r="B756" s="13">
        <v>43374</v>
      </c>
      <c r="C756">
        <f t="shared" si="55"/>
        <v>2018</v>
      </c>
      <c r="D756">
        <f t="shared" si="56"/>
        <v>10</v>
      </c>
      <c r="E756" t="s">
        <v>73</v>
      </c>
      <c r="F756" t="s">
        <v>119</v>
      </c>
      <c r="G756" s="14">
        <v>63747</v>
      </c>
      <c r="H756" t="s">
        <v>60</v>
      </c>
      <c r="I756" t="s">
        <v>114</v>
      </c>
      <c r="J756" t="s">
        <v>888</v>
      </c>
      <c r="K756">
        <f t="shared" si="57"/>
        <v>1</v>
      </c>
      <c r="L756">
        <f t="shared" si="58"/>
        <v>0</v>
      </c>
      <c r="M756">
        <f t="shared" si="59"/>
        <v>1</v>
      </c>
    </row>
    <row r="757" spans="1:13">
      <c r="A757">
        <v>358</v>
      </c>
      <c r="B757" s="13">
        <v>43378</v>
      </c>
      <c r="C757">
        <f t="shared" si="55"/>
        <v>2018</v>
      </c>
      <c r="D757">
        <f t="shared" si="56"/>
        <v>10</v>
      </c>
      <c r="E757" t="s">
        <v>47</v>
      </c>
      <c r="F757" t="s">
        <v>272</v>
      </c>
      <c r="G757" s="14">
        <v>71253</v>
      </c>
      <c r="H757" t="s">
        <v>53</v>
      </c>
      <c r="I757" t="s">
        <v>92</v>
      </c>
      <c r="J757" t="s">
        <v>889</v>
      </c>
      <c r="K757">
        <f t="shared" si="57"/>
        <v>1</v>
      </c>
      <c r="L757">
        <f t="shared" si="58"/>
        <v>0</v>
      </c>
      <c r="M757">
        <f t="shared" si="59"/>
        <v>1</v>
      </c>
    </row>
    <row r="758" spans="1:13">
      <c r="A758">
        <v>103</v>
      </c>
      <c r="B758" s="13">
        <v>43383</v>
      </c>
      <c r="C758">
        <f t="shared" si="55"/>
        <v>2018</v>
      </c>
      <c r="D758">
        <f t="shared" si="56"/>
        <v>10</v>
      </c>
      <c r="E758" t="s">
        <v>73</v>
      </c>
      <c r="F758" t="s">
        <v>140</v>
      </c>
      <c r="G758" s="14">
        <v>79330</v>
      </c>
      <c r="H758" t="s">
        <v>60</v>
      </c>
      <c r="I758" t="s">
        <v>71</v>
      </c>
      <c r="J758" t="s">
        <v>890</v>
      </c>
      <c r="K758">
        <f t="shared" si="57"/>
        <v>1</v>
      </c>
      <c r="L758">
        <f t="shared" si="58"/>
        <v>0</v>
      </c>
      <c r="M758">
        <f t="shared" si="59"/>
        <v>1</v>
      </c>
    </row>
    <row r="759" spans="1:13">
      <c r="A759">
        <v>710</v>
      </c>
      <c r="B759" s="13">
        <v>43386</v>
      </c>
      <c r="C759">
        <f t="shared" si="55"/>
        <v>2018</v>
      </c>
      <c r="D759">
        <f t="shared" si="56"/>
        <v>10</v>
      </c>
      <c r="E759" t="s">
        <v>47</v>
      </c>
      <c r="F759" t="s">
        <v>116</v>
      </c>
      <c r="G759" s="14">
        <v>54131</v>
      </c>
      <c r="H759" t="s">
        <v>60</v>
      </c>
      <c r="I759" t="s">
        <v>188</v>
      </c>
      <c r="J759" t="s">
        <v>891</v>
      </c>
      <c r="K759">
        <f t="shared" si="57"/>
        <v>1</v>
      </c>
      <c r="L759">
        <f t="shared" si="58"/>
        <v>0</v>
      </c>
      <c r="M759">
        <f t="shared" si="59"/>
        <v>1</v>
      </c>
    </row>
    <row r="760" spans="1:13">
      <c r="A760">
        <v>330</v>
      </c>
      <c r="B760" s="13">
        <v>43387</v>
      </c>
      <c r="C760">
        <f t="shared" si="55"/>
        <v>2018</v>
      </c>
      <c r="D760">
        <f t="shared" si="56"/>
        <v>10</v>
      </c>
      <c r="E760" t="s">
        <v>73</v>
      </c>
      <c r="F760" t="s">
        <v>150</v>
      </c>
      <c r="G760" s="14">
        <v>44240</v>
      </c>
      <c r="H760" t="s">
        <v>60</v>
      </c>
      <c r="I760" t="s">
        <v>71</v>
      </c>
      <c r="J760" t="s">
        <v>892</v>
      </c>
      <c r="K760">
        <f t="shared" si="57"/>
        <v>1</v>
      </c>
      <c r="L760">
        <f t="shared" si="58"/>
        <v>0</v>
      </c>
      <c r="M760">
        <f t="shared" si="59"/>
        <v>1</v>
      </c>
    </row>
    <row r="761" spans="1:13">
      <c r="A761">
        <v>1</v>
      </c>
      <c r="B761" s="13">
        <v>43388</v>
      </c>
      <c r="C761">
        <f t="shared" si="55"/>
        <v>2018</v>
      </c>
      <c r="D761">
        <f t="shared" si="56"/>
        <v>10</v>
      </c>
      <c r="E761" t="s">
        <v>94</v>
      </c>
      <c r="F761" t="s">
        <v>328</v>
      </c>
      <c r="G761" s="14">
        <v>74755</v>
      </c>
      <c r="H761" t="s">
        <v>60</v>
      </c>
      <c r="I761" t="s">
        <v>61</v>
      </c>
      <c r="J761" t="s">
        <v>877</v>
      </c>
      <c r="K761">
        <f t="shared" si="57"/>
        <v>1</v>
      </c>
      <c r="L761">
        <f t="shared" si="58"/>
        <v>0</v>
      </c>
      <c r="M761">
        <f t="shared" si="59"/>
        <v>1</v>
      </c>
    </row>
    <row r="762" spans="1:13">
      <c r="A762">
        <v>381</v>
      </c>
      <c r="B762" s="13">
        <v>43395</v>
      </c>
      <c r="C762">
        <f t="shared" si="55"/>
        <v>2018</v>
      </c>
      <c r="D762">
        <f t="shared" si="56"/>
        <v>10</v>
      </c>
      <c r="E762" t="s">
        <v>47</v>
      </c>
      <c r="F762" t="s">
        <v>155</v>
      </c>
      <c r="G762" s="14">
        <v>50296</v>
      </c>
      <c r="H762" t="s">
        <v>53</v>
      </c>
      <c r="I762" t="s">
        <v>120</v>
      </c>
      <c r="J762" t="s">
        <v>893</v>
      </c>
      <c r="K762">
        <f t="shared" si="57"/>
        <v>1</v>
      </c>
      <c r="L762">
        <f t="shared" si="58"/>
        <v>0</v>
      </c>
      <c r="M762">
        <f t="shared" si="59"/>
        <v>1</v>
      </c>
    </row>
    <row r="763" spans="1:13">
      <c r="A763">
        <v>979</v>
      </c>
      <c r="B763" s="13">
        <v>43395</v>
      </c>
      <c r="C763">
        <f t="shared" si="55"/>
        <v>2018</v>
      </c>
      <c r="D763">
        <f t="shared" si="56"/>
        <v>10</v>
      </c>
      <c r="E763" t="s">
        <v>38</v>
      </c>
      <c r="F763" t="s">
        <v>236</v>
      </c>
      <c r="G763" s="14">
        <v>62011</v>
      </c>
      <c r="H763" t="s">
        <v>81</v>
      </c>
      <c r="I763" t="s">
        <v>190</v>
      </c>
      <c r="J763" t="s">
        <v>894</v>
      </c>
      <c r="K763">
        <f t="shared" si="57"/>
        <v>1</v>
      </c>
      <c r="L763">
        <f t="shared" si="58"/>
        <v>0</v>
      </c>
      <c r="M763">
        <f t="shared" si="59"/>
        <v>1</v>
      </c>
    </row>
    <row r="764" spans="1:13">
      <c r="A764">
        <v>380</v>
      </c>
      <c r="B764" s="13">
        <v>43396</v>
      </c>
      <c r="C764">
        <f t="shared" si="55"/>
        <v>2018</v>
      </c>
      <c r="D764">
        <f t="shared" si="56"/>
        <v>10</v>
      </c>
      <c r="E764" t="s">
        <v>43</v>
      </c>
      <c r="F764" t="s">
        <v>197</v>
      </c>
      <c r="G764" s="14">
        <v>74394</v>
      </c>
      <c r="H764" t="s">
        <v>40</v>
      </c>
      <c r="I764" t="s">
        <v>98</v>
      </c>
      <c r="J764" t="s">
        <v>895</v>
      </c>
      <c r="K764">
        <f t="shared" si="57"/>
        <v>1</v>
      </c>
      <c r="L764">
        <f t="shared" si="58"/>
        <v>0</v>
      </c>
      <c r="M764">
        <f t="shared" si="59"/>
        <v>1</v>
      </c>
    </row>
    <row r="765" spans="1:13">
      <c r="A765">
        <v>953</v>
      </c>
      <c r="B765" s="13">
        <v>43403</v>
      </c>
      <c r="C765">
        <f t="shared" si="55"/>
        <v>2018</v>
      </c>
      <c r="D765">
        <f t="shared" si="56"/>
        <v>10</v>
      </c>
      <c r="E765" t="s">
        <v>76</v>
      </c>
      <c r="F765" t="s">
        <v>110</v>
      </c>
      <c r="G765" s="14">
        <v>52513</v>
      </c>
      <c r="H765" t="s">
        <v>53</v>
      </c>
      <c r="I765" t="s">
        <v>54</v>
      </c>
      <c r="J765" t="s">
        <v>896</v>
      </c>
      <c r="K765">
        <f t="shared" si="57"/>
        <v>1</v>
      </c>
      <c r="L765">
        <f t="shared" si="58"/>
        <v>0</v>
      </c>
      <c r="M765">
        <f t="shared" si="59"/>
        <v>1</v>
      </c>
    </row>
    <row r="766" spans="1:13">
      <c r="A766">
        <v>966</v>
      </c>
      <c r="B766" s="13">
        <v>43404</v>
      </c>
      <c r="C766">
        <f t="shared" si="55"/>
        <v>2018</v>
      </c>
      <c r="D766">
        <f t="shared" si="56"/>
        <v>10</v>
      </c>
      <c r="E766" t="s">
        <v>63</v>
      </c>
      <c r="F766" t="s">
        <v>124</v>
      </c>
      <c r="G766" s="14">
        <v>47522</v>
      </c>
      <c r="H766" t="s">
        <v>49</v>
      </c>
      <c r="I766" t="s">
        <v>103</v>
      </c>
      <c r="J766" t="s">
        <v>728</v>
      </c>
      <c r="K766">
        <f t="shared" si="57"/>
        <v>1</v>
      </c>
      <c r="L766">
        <f t="shared" si="58"/>
        <v>0</v>
      </c>
      <c r="M766">
        <f t="shared" si="59"/>
        <v>1</v>
      </c>
    </row>
    <row r="767" spans="1:13">
      <c r="A767">
        <v>98</v>
      </c>
      <c r="B767" s="13">
        <v>43407</v>
      </c>
      <c r="C767">
        <f t="shared" si="55"/>
        <v>2018</v>
      </c>
      <c r="D767">
        <f t="shared" si="56"/>
        <v>11</v>
      </c>
      <c r="E767" t="s">
        <v>47</v>
      </c>
      <c r="F767" t="s">
        <v>155</v>
      </c>
      <c r="G767" s="14">
        <v>57320</v>
      </c>
      <c r="H767" t="s">
        <v>49</v>
      </c>
      <c r="I767" t="s">
        <v>50</v>
      </c>
      <c r="J767" t="s">
        <v>897</v>
      </c>
      <c r="K767">
        <f t="shared" si="57"/>
        <v>1</v>
      </c>
      <c r="L767">
        <f t="shared" si="58"/>
        <v>0</v>
      </c>
      <c r="M767">
        <f t="shared" si="59"/>
        <v>1</v>
      </c>
    </row>
    <row r="768" spans="1:13">
      <c r="A768">
        <v>659</v>
      </c>
      <c r="B768" s="13">
        <v>43412</v>
      </c>
      <c r="C768">
        <f t="shared" si="55"/>
        <v>2018</v>
      </c>
      <c r="D768">
        <f t="shared" si="56"/>
        <v>11</v>
      </c>
      <c r="E768" t="s">
        <v>47</v>
      </c>
      <c r="F768" t="s">
        <v>52</v>
      </c>
      <c r="G768" s="14">
        <v>55851</v>
      </c>
      <c r="H768" t="s">
        <v>57</v>
      </c>
      <c r="I768" t="s">
        <v>58</v>
      </c>
      <c r="J768" t="s">
        <v>898</v>
      </c>
      <c r="K768">
        <f t="shared" si="57"/>
        <v>1</v>
      </c>
      <c r="L768">
        <f t="shared" si="58"/>
        <v>0</v>
      </c>
      <c r="M768">
        <f t="shared" si="59"/>
        <v>1</v>
      </c>
    </row>
    <row r="769" spans="1:13">
      <c r="A769">
        <v>977</v>
      </c>
      <c r="B769" s="13">
        <v>43413</v>
      </c>
      <c r="C769">
        <f t="shared" si="55"/>
        <v>2018</v>
      </c>
      <c r="D769">
        <f t="shared" si="56"/>
        <v>11</v>
      </c>
      <c r="E769" t="s">
        <v>94</v>
      </c>
      <c r="F769" t="s">
        <v>489</v>
      </c>
      <c r="G769" s="14">
        <v>59463</v>
      </c>
      <c r="H769" t="s">
        <v>40</v>
      </c>
      <c r="I769" t="s">
        <v>45</v>
      </c>
      <c r="J769" t="s">
        <v>899</v>
      </c>
      <c r="K769">
        <f t="shared" si="57"/>
        <v>1</v>
      </c>
      <c r="L769">
        <f t="shared" si="58"/>
        <v>0</v>
      </c>
      <c r="M769">
        <f t="shared" si="59"/>
        <v>1</v>
      </c>
    </row>
    <row r="770" spans="1:13">
      <c r="A770">
        <v>981</v>
      </c>
      <c r="B770" s="13">
        <v>43416</v>
      </c>
      <c r="C770">
        <f t="shared" ref="C770:C833" si="60">YEAR(B770)</f>
        <v>2018</v>
      </c>
      <c r="D770">
        <f t="shared" ref="D770:D833" si="61">MONTH(B770)</f>
        <v>11</v>
      </c>
      <c r="E770" t="s">
        <v>38</v>
      </c>
      <c r="F770" t="s">
        <v>56</v>
      </c>
      <c r="G770" s="14">
        <v>66256</v>
      </c>
      <c r="H770" t="s">
        <v>49</v>
      </c>
      <c r="I770" t="s">
        <v>122</v>
      </c>
      <c r="J770" t="s">
        <v>900</v>
      </c>
      <c r="K770">
        <f t="shared" ref="K770:K833" si="62">IF(AND(OR(sel_ano="Todos",C770=sel_ano),OR(sel_pais="Todos",H770=sel_pais),OR(sel_marca="Todas",E770=sel_marca)),1,0)</f>
        <v>1</v>
      </c>
      <c r="L770">
        <f t="shared" ref="L770:L833" si="63">IF(sel_ano="Todos",0,IF(AND(C770=sel_ano-1,OR(sel_pais="Todos",H770=sel_pais),OR(sel_marca="Todas",E770=sel_marca)),1,0))</f>
        <v>0</v>
      </c>
      <c r="M770">
        <f t="shared" ref="M770:M833" si="64">IF(AND(OR(sel_pais="Todos",H770=sel_pais),OR(sel_marca="Todas",E770=sel_marca)),1,0)</f>
        <v>1</v>
      </c>
    </row>
    <row r="771" spans="1:13">
      <c r="A771">
        <v>777</v>
      </c>
      <c r="B771" s="13">
        <v>43417</v>
      </c>
      <c r="C771">
        <f t="shared" si="60"/>
        <v>2018</v>
      </c>
      <c r="D771">
        <f t="shared" si="61"/>
        <v>11</v>
      </c>
      <c r="E771" t="s">
        <v>43</v>
      </c>
      <c r="F771" t="s">
        <v>134</v>
      </c>
      <c r="G771" s="14">
        <v>68572</v>
      </c>
      <c r="H771" t="s">
        <v>57</v>
      </c>
      <c r="I771" t="s">
        <v>58</v>
      </c>
      <c r="J771" t="s">
        <v>901</v>
      </c>
      <c r="K771">
        <f t="shared" si="62"/>
        <v>1</v>
      </c>
      <c r="L771">
        <f t="shared" si="63"/>
        <v>0</v>
      </c>
      <c r="M771">
        <f t="shared" si="64"/>
        <v>1</v>
      </c>
    </row>
    <row r="772" spans="1:13">
      <c r="A772">
        <v>193</v>
      </c>
      <c r="B772" s="13">
        <v>43421</v>
      </c>
      <c r="C772">
        <f t="shared" si="60"/>
        <v>2018</v>
      </c>
      <c r="D772">
        <f t="shared" si="61"/>
        <v>11</v>
      </c>
      <c r="E772" t="s">
        <v>47</v>
      </c>
      <c r="F772" t="s">
        <v>52</v>
      </c>
      <c r="G772" s="14">
        <v>77344</v>
      </c>
      <c r="H772" t="s">
        <v>40</v>
      </c>
      <c r="I772" t="s">
        <v>144</v>
      </c>
      <c r="J772" t="s">
        <v>902</v>
      </c>
      <c r="K772">
        <f t="shared" si="62"/>
        <v>1</v>
      </c>
      <c r="L772">
        <f t="shared" si="63"/>
        <v>0</v>
      </c>
      <c r="M772">
        <f t="shared" si="64"/>
        <v>1</v>
      </c>
    </row>
    <row r="773" spans="1:13">
      <c r="A773">
        <v>619</v>
      </c>
      <c r="B773" s="13">
        <v>43423</v>
      </c>
      <c r="C773">
        <f t="shared" si="60"/>
        <v>2018</v>
      </c>
      <c r="D773">
        <f t="shared" si="61"/>
        <v>11</v>
      </c>
      <c r="E773" t="s">
        <v>73</v>
      </c>
      <c r="F773" t="s">
        <v>74</v>
      </c>
      <c r="G773" s="14">
        <v>57821</v>
      </c>
      <c r="H773" t="s">
        <v>60</v>
      </c>
      <c r="I773" t="s">
        <v>199</v>
      </c>
      <c r="J773" t="s">
        <v>903</v>
      </c>
      <c r="K773">
        <f t="shared" si="62"/>
        <v>1</v>
      </c>
      <c r="L773">
        <f t="shared" si="63"/>
        <v>0</v>
      </c>
      <c r="M773">
        <f t="shared" si="64"/>
        <v>1</v>
      </c>
    </row>
    <row r="774" spans="1:13">
      <c r="A774">
        <v>6</v>
      </c>
      <c r="B774" s="13">
        <v>43425</v>
      </c>
      <c r="C774">
        <f t="shared" si="60"/>
        <v>2018</v>
      </c>
      <c r="D774">
        <f t="shared" si="61"/>
        <v>11</v>
      </c>
      <c r="E774" t="s">
        <v>63</v>
      </c>
      <c r="F774" t="s">
        <v>425</v>
      </c>
      <c r="G774" s="14">
        <v>73577</v>
      </c>
      <c r="H774" t="s">
        <v>49</v>
      </c>
      <c r="I774" t="s">
        <v>103</v>
      </c>
      <c r="J774" t="s">
        <v>904</v>
      </c>
      <c r="K774">
        <f t="shared" si="62"/>
        <v>1</v>
      </c>
      <c r="L774">
        <f t="shared" si="63"/>
        <v>0</v>
      </c>
      <c r="M774">
        <f t="shared" si="64"/>
        <v>1</v>
      </c>
    </row>
    <row r="775" spans="1:13">
      <c r="A775">
        <v>980</v>
      </c>
      <c r="B775" s="13">
        <v>43430</v>
      </c>
      <c r="C775">
        <f t="shared" si="60"/>
        <v>2018</v>
      </c>
      <c r="D775">
        <f t="shared" si="61"/>
        <v>11</v>
      </c>
      <c r="E775" t="s">
        <v>38</v>
      </c>
      <c r="F775" t="s">
        <v>80</v>
      </c>
      <c r="G775" s="14">
        <v>53182</v>
      </c>
      <c r="H775" t="s">
        <v>49</v>
      </c>
      <c r="I775" t="s">
        <v>122</v>
      </c>
      <c r="J775" t="s">
        <v>905</v>
      </c>
      <c r="K775">
        <f t="shared" si="62"/>
        <v>1</v>
      </c>
      <c r="L775">
        <f t="shared" si="63"/>
        <v>0</v>
      </c>
      <c r="M775">
        <f t="shared" si="64"/>
        <v>1</v>
      </c>
    </row>
    <row r="776" spans="1:13">
      <c r="A776">
        <v>774</v>
      </c>
      <c r="B776" s="13">
        <v>43431</v>
      </c>
      <c r="C776">
        <f t="shared" si="60"/>
        <v>2018</v>
      </c>
      <c r="D776">
        <f t="shared" si="61"/>
        <v>11</v>
      </c>
      <c r="E776" t="s">
        <v>76</v>
      </c>
      <c r="F776" t="s">
        <v>110</v>
      </c>
      <c r="G776" s="14">
        <v>65759</v>
      </c>
      <c r="H776" t="s">
        <v>60</v>
      </c>
      <c r="I776" t="s">
        <v>188</v>
      </c>
      <c r="J776" t="s">
        <v>906</v>
      </c>
      <c r="K776">
        <f t="shared" si="62"/>
        <v>1</v>
      </c>
      <c r="L776">
        <f t="shared" si="63"/>
        <v>0</v>
      </c>
      <c r="M776">
        <f t="shared" si="64"/>
        <v>1</v>
      </c>
    </row>
    <row r="777" spans="1:13">
      <c r="A777">
        <v>879</v>
      </c>
      <c r="B777" s="13">
        <v>43437</v>
      </c>
      <c r="C777">
        <f t="shared" si="60"/>
        <v>2018</v>
      </c>
      <c r="D777">
        <f t="shared" si="61"/>
        <v>12</v>
      </c>
      <c r="E777" t="s">
        <v>76</v>
      </c>
      <c r="F777" t="s">
        <v>129</v>
      </c>
      <c r="G777" s="14">
        <v>62949</v>
      </c>
      <c r="H777" t="s">
        <v>40</v>
      </c>
      <c r="I777" t="s">
        <v>85</v>
      </c>
      <c r="J777" t="s">
        <v>907</v>
      </c>
      <c r="K777">
        <f t="shared" si="62"/>
        <v>1</v>
      </c>
      <c r="L777">
        <f t="shared" si="63"/>
        <v>0</v>
      </c>
      <c r="M777">
        <f t="shared" si="64"/>
        <v>1</v>
      </c>
    </row>
    <row r="778" spans="1:13">
      <c r="A778">
        <v>304</v>
      </c>
      <c r="B778" s="13">
        <v>43442</v>
      </c>
      <c r="C778">
        <f t="shared" si="60"/>
        <v>2018</v>
      </c>
      <c r="D778">
        <f t="shared" si="61"/>
        <v>12</v>
      </c>
      <c r="E778" t="s">
        <v>76</v>
      </c>
      <c r="F778" t="s">
        <v>110</v>
      </c>
      <c r="G778" s="14">
        <v>60654</v>
      </c>
      <c r="H778" t="s">
        <v>81</v>
      </c>
      <c r="I778" t="s">
        <v>146</v>
      </c>
      <c r="J778" t="s">
        <v>908</v>
      </c>
      <c r="K778">
        <f t="shared" si="62"/>
        <v>1</v>
      </c>
      <c r="L778">
        <f t="shared" si="63"/>
        <v>0</v>
      </c>
      <c r="M778">
        <f t="shared" si="64"/>
        <v>1</v>
      </c>
    </row>
    <row r="779" spans="1:13">
      <c r="A779">
        <v>848</v>
      </c>
      <c r="B779" s="13">
        <v>43442</v>
      </c>
      <c r="C779">
        <f t="shared" si="60"/>
        <v>2018</v>
      </c>
      <c r="D779">
        <f t="shared" si="61"/>
        <v>12</v>
      </c>
      <c r="E779" t="s">
        <v>94</v>
      </c>
      <c r="F779" t="s">
        <v>95</v>
      </c>
      <c r="G779" s="14">
        <v>52057</v>
      </c>
      <c r="H779" t="s">
        <v>57</v>
      </c>
      <c r="I779" t="s">
        <v>65</v>
      </c>
      <c r="J779" t="s">
        <v>886</v>
      </c>
      <c r="K779">
        <f t="shared" si="62"/>
        <v>1</v>
      </c>
      <c r="L779">
        <f t="shared" si="63"/>
        <v>0</v>
      </c>
      <c r="M779">
        <f t="shared" si="64"/>
        <v>1</v>
      </c>
    </row>
    <row r="780" spans="1:13">
      <c r="A780">
        <v>134</v>
      </c>
      <c r="B780" s="13">
        <v>43445</v>
      </c>
      <c r="C780">
        <f t="shared" si="60"/>
        <v>2018</v>
      </c>
      <c r="D780">
        <f t="shared" si="61"/>
        <v>12</v>
      </c>
      <c r="E780" t="s">
        <v>76</v>
      </c>
      <c r="F780" t="s">
        <v>91</v>
      </c>
      <c r="G780" s="14">
        <v>44045</v>
      </c>
      <c r="H780" t="s">
        <v>53</v>
      </c>
      <c r="I780" t="s">
        <v>78</v>
      </c>
      <c r="J780" t="s">
        <v>909</v>
      </c>
      <c r="K780">
        <f t="shared" si="62"/>
        <v>1</v>
      </c>
      <c r="L780">
        <f t="shared" si="63"/>
        <v>0</v>
      </c>
      <c r="M780">
        <f t="shared" si="64"/>
        <v>1</v>
      </c>
    </row>
    <row r="781" spans="1:13">
      <c r="A781">
        <v>556</v>
      </c>
      <c r="B781" s="13">
        <v>43447</v>
      </c>
      <c r="C781">
        <f t="shared" si="60"/>
        <v>2018</v>
      </c>
      <c r="D781">
        <f t="shared" si="61"/>
        <v>12</v>
      </c>
      <c r="E781" t="s">
        <v>47</v>
      </c>
      <c r="F781" t="s">
        <v>116</v>
      </c>
      <c r="G781" s="14">
        <v>47450</v>
      </c>
      <c r="H781" t="s">
        <v>49</v>
      </c>
      <c r="I781" t="s">
        <v>122</v>
      </c>
      <c r="J781" t="s">
        <v>910</v>
      </c>
      <c r="K781">
        <f t="shared" si="62"/>
        <v>1</v>
      </c>
      <c r="L781">
        <f t="shared" si="63"/>
        <v>0</v>
      </c>
      <c r="M781">
        <f t="shared" si="64"/>
        <v>1</v>
      </c>
    </row>
    <row r="782" spans="1:13">
      <c r="A782">
        <v>235</v>
      </c>
      <c r="B782" s="13">
        <v>43450</v>
      </c>
      <c r="C782">
        <f t="shared" si="60"/>
        <v>2018</v>
      </c>
      <c r="D782">
        <f t="shared" si="61"/>
        <v>12</v>
      </c>
      <c r="E782" t="s">
        <v>47</v>
      </c>
      <c r="F782" t="s">
        <v>132</v>
      </c>
      <c r="G782" s="14">
        <v>54804</v>
      </c>
      <c r="H782" t="s">
        <v>53</v>
      </c>
      <c r="I782" t="s">
        <v>120</v>
      </c>
      <c r="J782" t="s">
        <v>911</v>
      </c>
      <c r="K782">
        <f t="shared" si="62"/>
        <v>1</v>
      </c>
      <c r="L782">
        <f t="shared" si="63"/>
        <v>0</v>
      </c>
      <c r="M782">
        <f t="shared" si="64"/>
        <v>1</v>
      </c>
    </row>
    <row r="783" spans="1:13">
      <c r="A783">
        <v>816</v>
      </c>
      <c r="B783" s="13">
        <v>43450</v>
      </c>
      <c r="C783">
        <f t="shared" si="60"/>
        <v>2018</v>
      </c>
      <c r="D783">
        <f t="shared" si="61"/>
        <v>12</v>
      </c>
      <c r="E783" t="s">
        <v>47</v>
      </c>
      <c r="F783" t="s">
        <v>132</v>
      </c>
      <c r="G783" s="14">
        <v>51081</v>
      </c>
      <c r="H783" t="s">
        <v>60</v>
      </c>
      <c r="I783" t="s">
        <v>61</v>
      </c>
      <c r="J783" t="s">
        <v>912</v>
      </c>
      <c r="K783">
        <f t="shared" si="62"/>
        <v>1</v>
      </c>
      <c r="L783">
        <f t="shared" si="63"/>
        <v>0</v>
      </c>
      <c r="M783">
        <f t="shared" si="64"/>
        <v>1</v>
      </c>
    </row>
    <row r="784" spans="1:13">
      <c r="A784">
        <v>968</v>
      </c>
      <c r="B784" s="13">
        <v>43451</v>
      </c>
      <c r="C784">
        <f t="shared" si="60"/>
        <v>2018</v>
      </c>
      <c r="D784">
        <f t="shared" si="61"/>
        <v>12</v>
      </c>
      <c r="E784" t="s">
        <v>63</v>
      </c>
      <c r="F784" t="s">
        <v>64</v>
      </c>
      <c r="G784" s="14">
        <v>78035</v>
      </c>
      <c r="H784" t="s">
        <v>81</v>
      </c>
      <c r="I784" t="s">
        <v>153</v>
      </c>
      <c r="J784" t="s">
        <v>738</v>
      </c>
      <c r="K784">
        <f t="shared" si="62"/>
        <v>1</v>
      </c>
      <c r="L784">
        <f t="shared" si="63"/>
        <v>0</v>
      </c>
      <c r="M784">
        <f t="shared" si="64"/>
        <v>1</v>
      </c>
    </row>
    <row r="785" spans="1:13">
      <c r="A785">
        <v>71</v>
      </c>
      <c r="B785" s="13">
        <v>43452</v>
      </c>
      <c r="C785">
        <f t="shared" si="60"/>
        <v>2018</v>
      </c>
      <c r="D785">
        <f t="shared" si="61"/>
        <v>12</v>
      </c>
      <c r="E785" t="s">
        <v>76</v>
      </c>
      <c r="F785" t="s">
        <v>294</v>
      </c>
      <c r="G785" s="14">
        <v>60493</v>
      </c>
      <c r="H785" t="s">
        <v>40</v>
      </c>
      <c r="I785" t="s">
        <v>158</v>
      </c>
      <c r="J785" t="s">
        <v>913</v>
      </c>
      <c r="K785">
        <f t="shared" si="62"/>
        <v>1</v>
      </c>
      <c r="L785">
        <f t="shared" si="63"/>
        <v>0</v>
      </c>
      <c r="M785">
        <f t="shared" si="64"/>
        <v>1</v>
      </c>
    </row>
    <row r="786" spans="1:13">
      <c r="A786">
        <v>88</v>
      </c>
      <c r="B786" s="13">
        <v>43453</v>
      </c>
      <c r="C786">
        <f t="shared" si="60"/>
        <v>2018</v>
      </c>
      <c r="D786">
        <f t="shared" si="61"/>
        <v>12</v>
      </c>
      <c r="E786" t="s">
        <v>47</v>
      </c>
      <c r="F786" t="s">
        <v>136</v>
      </c>
      <c r="G786" s="14">
        <v>57105</v>
      </c>
      <c r="H786" t="s">
        <v>60</v>
      </c>
      <c r="I786" t="s">
        <v>188</v>
      </c>
      <c r="J786" t="s">
        <v>914</v>
      </c>
      <c r="K786">
        <f t="shared" si="62"/>
        <v>1</v>
      </c>
      <c r="L786">
        <f t="shared" si="63"/>
        <v>0</v>
      </c>
      <c r="M786">
        <f t="shared" si="64"/>
        <v>1</v>
      </c>
    </row>
    <row r="787" spans="1:13">
      <c r="A787">
        <v>468</v>
      </c>
      <c r="B787" s="13">
        <v>43454</v>
      </c>
      <c r="C787">
        <f t="shared" si="60"/>
        <v>2018</v>
      </c>
      <c r="D787">
        <f t="shared" si="61"/>
        <v>12</v>
      </c>
      <c r="E787" t="s">
        <v>47</v>
      </c>
      <c r="F787" t="s">
        <v>52</v>
      </c>
      <c r="G787" s="14">
        <v>58806</v>
      </c>
      <c r="H787" t="s">
        <v>57</v>
      </c>
      <c r="I787" t="s">
        <v>58</v>
      </c>
      <c r="J787" t="s">
        <v>915</v>
      </c>
      <c r="K787">
        <f t="shared" si="62"/>
        <v>1</v>
      </c>
      <c r="L787">
        <f t="shared" si="63"/>
        <v>0</v>
      </c>
      <c r="M787">
        <f t="shared" si="64"/>
        <v>1</v>
      </c>
    </row>
    <row r="788" spans="1:13">
      <c r="A788">
        <v>961</v>
      </c>
      <c r="B788" s="13">
        <v>43454</v>
      </c>
      <c r="C788">
        <f t="shared" si="60"/>
        <v>2018</v>
      </c>
      <c r="D788">
        <f t="shared" si="61"/>
        <v>12</v>
      </c>
      <c r="E788" t="s">
        <v>73</v>
      </c>
      <c r="F788" t="s">
        <v>102</v>
      </c>
      <c r="G788" s="14">
        <v>79727</v>
      </c>
      <c r="H788" t="s">
        <v>60</v>
      </c>
      <c r="I788" t="s">
        <v>188</v>
      </c>
      <c r="J788" t="s">
        <v>916</v>
      </c>
      <c r="K788">
        <f t="shared" si="62"/>
        <v>1</v>
      </c>
      <c r="L788">
        <f t="shared" si="63"/>
        <v>0</v>
      </c>
      <c r="M788">
        <f t="shared" si="64"/>
        <v>1</v>
      </c>
    </row>
    <row r="789" spans="1:13">
      <c r="A789">
        <v>212</v>
      </c>
      <c r="B789" s="13">
        <v>43456</v>
      </c>
      <c r="C789">
        <f t="shared" si="60"/>
        <v>2018</v>
      </c>
      <c r="D789">
        <f t="shared" si="61"/>
        <v>12</v>
      </c>
      <c r="E789" t="s">
        <v>38</v>
      </c>
      <c r="F789" t="s">
        <v>56</v>
      </c>
      <c r="G789" s="14">
        <v>68162</v>
      </c>
      <c r="H789" t="s">
        <v>57</v>
      </c>
      <c r="I789" t="s">
        <v>160</v>
      </c>
      <c r="J789" t="s">
        <v>917</v>
      </c>
      <c r="K789">
        <f t="shared" si="62"/>
        <v>1</v>
      </c>
      <c r="L789">
        <f t="shared" si="63"/>
        <v>0</v>
      </c>
      <c r="M789">
        <f t="shared" si="64"/>
        <v>1</v>
      </c>
    </row>
    <row r="790" spans="1:13">
      <c r="A790">
        <v>960</v>
      </c>
      <c r="B790" s="13">
        <v>43459</v>
      </c>
      <c r="C790">
        <f t="shared" si="60"/>
        <v>2018</v>
      </c>
      <c r="D790">
        <f t="shared" si="61"/>
        <v>12</v>
      </c>
      <c r="E790" t="s">
        <v>73</v>
      </c>
      <c r="F790" t="s">
        <v>102</v>
      </c>
      <c r="G790" s="14">
        <v>68056</v>
      </c>
      <c r="H790" t="s">
        <v>81</v>
      </c>
      <c r="I790" t="s">
        <v>82</v>
      </c>
      <c r="J790" t="s">
        <v>918</v>
      </c>
      <c r="K790">
        <f t="shared" si="62"/>
        <v>1</v>
      </c>
      <c r="L790">
        <f t="shared" si="63"/>
        <v>0</v>
      </c>
      <c r="M790">
        <f t="shared" si="64"/>
        <v>1</v>
      </c>
    </row>
    <row r="791" spans="1:13">
      <c r="A791">
        <v>301</v>
      </c>
      <c r="B791" s="13">
        <v>43465</v>
      </c>
      <c r="C791">
        <f t="shared" si="60"/>
        <v>2018</v>
      </c>
      <c r="D791">
        <f t="shared" si="61"/>
        <v>12</v>
      </c>
      <c r="E791" t="s">
        <v>43</v>
      </c>
      <c r="F791" t="s">
        <v>134</v>
      </c>
      <c r="G791" s="14">
        <v>68575</v>
      </c>
      <c r="H791" t="s">
        <v>40</v>
      </c>
      <c r="I791" t="s">
        <v>88</v>
      </c>
      <c r="J791" t="s">
        <v>919</v>
      </c>
      <c r="K791">
        <f t="shared" si="62"/>
        <v>1</v>
      </c>
      <c r="L791">
        <f t="shared" si="63"/>
        <v>0</v>
      </c>
      <c r="M791">
        <f t="shared" si="64"/>
        <v>1</v>
      </c>
    </row>
    <row r="792" spans="1:13">
      <c r="A792">
        <v>959</v>
      </c>
      <c r="B792" s="13">
        <v>43465</v>
      </c>
      <c r="C792">
        <f t="shared" si="60"/>
        <v>2018</v>
      </c>
      <c r="D792">
        <f t="shared" si="61"/>
        <v>12</v>
      </c>
      <c r="E792" t="s">
        <v>73</v>
      </c>
      <c r="F792" t="s">
        <v>119</v>
      </c>
      <c r="G792" s="14">
        <v>69768</v>
      </c>
      <c r="H792" t="s">
        <v>40</v>
      </c>
      <c r="I792" t="s">
        <v>45</v>
      </c>
      <c r="J792" t="s">
        <v>920</v>
      </c>
      <c r="K792">
        <f t="shared" si="62"/>
        <v>1</v>
      </c>
      <c r="L792">
        <f t="shared" si="63"/>
        <v>0</v>
      </c>
      <c r="M792">
        <f t="shared" si="64"/>
        <v>1</v>
      </c>
    </row>
    <row r="793" spans="1:13">
      <c r="A793">
        <v>206</v>
      </c>
      <c r="B793" s="13">
        <v>43469</v>
      </c>
      <c r="C793">
        <f t="shared" si="60"/>
        <v>2019</v>
      </c>
      <c r="D793">
        <f t="shared" si="61"/>
        <v>1</v>
      </c>
      <c r="E793" t="s">
        <v>76</v>
      </c>
      <c r="F793" t="s">
        <v>216</v>
      </c>
      <c r="G793" s="14">
        <v>56049</v>
      </c>
      <c r="H793" t="s">
        <v>60</v>
      </c>
      <c r="I793" t="s">
        <v>61</v>
      </c>
      <c r="J793" t="s">
        <v>921</v>
      </c>
      <c r="K793">
        <f t="shared" si="62"/>
        <v>1</v>
      </c>
      <c r="L793">
        <f t="shared" si="63"/>
        <v>0</v>
      </c>
      <c r="M793">
        <f t="shared" si="64"/>
        <v>1</v>
      </c>
    </row>
    <row r="794" spans="1:13">
      <c r="A794">
        <v>30</v>
      </c>
      <c r="B794" s="13">
        <v>43471</v>
      </c>
      <c r="C794">
        <f t="shared" si="60"/>
        <v>2019</v>
      </c>
      <c r="D794">
        <f t="shared" si="61"/>
        <v>1</v>
      </c>
      <c r="E794" t="s">
        <v>94</v>
      </c>
      <c r="F794" t="s">
        <v>489</v>
      </c>
      <c r="G794" s="14">
        <v>59463</v>
      </c>
      <c r="H794" t="s">
        <v>40</v>
      </c>
      <c r="I794" t="s">
        <v>45</v>
      </c>
      <c r="J794" t="s">
        <v>899</v>
      </c>
      <c r="K794">
        <f t="shared" si="62"/>
        <v>1</v>
      </c>
      <c r="L794">
        <f t="shared" si="63"/>
        <v>0</v>
      </c>
      <c r="M794">
        <f t="shared" si="64"/>
        <v>1</v>
      </c>
    </row>
    <row r="795" spans="1:13">
      <c r="A795">
        <v>768</v>
      </c>
      <c r="B795" s="13">
        <v>43473</v>
      </c>
      <c r="C795">
        <f t="shared" si="60"/>
        <v>2019</v>
      </c>
      <c r="D795">
        <f t="shared" si="61"/>
        <v>1</v>
      </c>
      <c r="E795" t="s">
        <v>94</v>
      </c>
      <c r="F795" t="s">
        <v>148</v>
      </c>
      <c r="G795" s="14">
        <v>72376</v>
      </c>
      <c r="H795" t="s">
        <v>40</v>
      </c>
      <c r="I795" t="s">
        <v>180</v>
      </c>
      <c r="J795" t="s">
        <v>922</v>
      </c>
      <c r="K795">
        <f t="shared" si="62"/>
        <v>1</v>
      </c>
      <c r="L795">
        <f t="shared" si="63"/>
        <v>0</v>
      </c>
      <c r="M795">
        <f t="shared" si="64"/>
        <v>1</v>
      </c>
    </row>
    <row r="796" spans="1:13">
      <c r="A796">
        <v>157</v>
      </c>
      <c r="B796" s="13">
        <v>43479</v>
      </c>
      <c r="C796">
        <f t="shared" si="60"/>
        <v>2019</v>
      </c>
      <c r="D796">
        <f t="shared" si="61"/>
        <v>1</v>
      </c>
      <c r="E796" t="s">
        <v>47</v>
      </c>
      <c r="F796" t="s">
        <v>132</v>
      </c>
      <c r="G796" s="14">
        <v>46175</v>
      </c>
      <c r="H796" t="s">
        <v>60</v>
      </c>
      <c r="I796" t="s">
        <v>188</v>
      </c>
      <c r="J796" t="s">
        <v>923</v>
      </c>
      <c r="K796">
        <f t="shared" si="62"/>
        <v>1</v>
      </c>
      <c r="L796">
        <f t="shared" si="63"/>
        <v>0</v>
      </c>
      <c r="M796">
        <f t="shared" si="64"/>
        <v>1</v>
      </c>
    </row>
    <row r="797" spans="1:13">
      <c r="A797">
        <v>111</v>
      </c>
      <c r="B797" s="13">
        <v>43483</v>
      </c>
      <c r="C797">
        <f t="shared" si="60"/>
        <v>2019</v>
      </c>
      <c r="D797">
        <f t="shared" si="61"/>
        <v>1</v>
      </c>
      <c r="E797" t="s">
        <v>43</v>
      </c>
      <c r="F797" t="s">
        <v>44</v>
      </c>
      <c r="G797" s="14">
        <v>55353</v>
      </c>
      <c r="H797" t="s">
        <v>40</v>
      </c>
      <c r="I797" t="s">
        <v>100</v>
      </c>
      <c r="J797" t="s">
        <v>924</v>
      </c>
      <c r="K797">
        <f t="shared" si="62"/>
        <v>1</v>
      </c>
      <c r="L797">
        <f t="shared" si="63"/>
        <v>0</v>
      </c>
      <c r="M797">
        <f t="shared" si="64"/>
        <v>1</v>
      </c>
    </row>
    <row r="798" spans="1:13">
      <c r="A798">
        <v>449</v>
      </c>
      <c r="B798" s="13">
        <v>43488</v>
      </c>
      <c r="C798">
        <f t="shared" si="60"/>
        <v>2019</v>
      </c>
      <c r="D798">
        <f t="shared" si="61"/>
        <v>1</v>
      </c>
      <c r="E798" t="s">
        <v>38</v>
      </c>
      <c r="F798" t="s">
        <v>56</v>
      </c>
      <c r="G798" s="14">
        <v>47764</v>
      </c>
      <c r="H798" t="s">
        <v>40</v>
      </c>
      <c r="I798" t="s">
        <v>100</v>
      </c>
      <c r="J798" t="s">
        <v>925</v>
      </c>
      <c r="K798">
        <f t="shared" si="62"/>
        <v>1</v>
      </c>
      <c r="L798">
        <f t="shared" si="63"/>
        <v>0</v>
      </c>
      <c r="M798">
        <f t="shared" si="64"/>
        <v>1</v>
      </c>
    </row>
    <row r="799" spans="1:13">
      <c r="A799">
        <v>493</v>
      </c>
      <c r="B799" s="13">
        <v>43489</v>
      </c>
      <c r="C799">
        <f t="shared" si="60"/>
        <v>2019</v>
      </c>
      <c r="D799">
        <f t="shared" si="61"/>
        <v>1</v>
      </c>
      <c r="E799" t="s">
        <v>43</v>
      </c>
      <c r="F799" t="s">
        <v>44</v>
      </c>
      <c r="G799" s="14">
        <v>60899</v>
      </c>
      <c r="H799" t="s">
        <v>49</v>
      </c>
      <c r="I799" t="s">
        <v>96</v>
      </c>
      <c r="J799" t="s">
        <v>926</v>
      </c>
      <c r="K799">
        <f t="shared" si="62"/>
        <v>1</v>
      </c>
      <c r="L799">
        <f t="shared" si="63"/>
        <v>0</v>
      </c>
      <c r="M799">
        <f t="shared" si="64"/>
        <v>1</v>
      </c>
    </row>
    <row r="800" spans="1:13">
      <c r="A800">
        <v>931</v>
      </c>
      <c r="B800" s="13">
        <v>43489</v>
      </c>
      <c r="C800">
        <f t="shared" si="60"/>
        <v>2019</v>
      </c>
      <c r="D800">
        <f t="shared" si="61"/>
        <v>1</v>
      </c>
      <c r="E800" t="s">
        <v>63</v>
      </c>
      <c r="F800" t="s">
        <v>105</v>
      </c>
      <c r="G800" s="14">
        <v>73617</v>
      </c>
      <c r="H800" t="s">
        <v>81</v>
      </c>
      <c r="I800" t="s">
        <v>146</v>
      </c>
      <c r="J800" t="s">
        <v>927</v>
      </c>
      <c r="K800">
        <f t="shared" si="62"/>
        <v>1</v>
      </c>
      <c r="L800">
        <f t="shared" si="63"/>
        <v>0</v>
      </c>
      <c r="M800">
        <f t="shared" si="64"/>
        <v>1</v>
      </c>
    </row>
    <row r="801" spans="1:13">
      <c r="A801">
        <v>363</v>
      </c>
      <c r="B801" s="13">
        <v>43490</v>
      </c>
      <c r="C801">
        <f t="shared" si="60"/>
        <v>2019</v>
      </c>
      <c r="D801">
        <f t="shared" si="61"/>
        <v>1</v>
      </c>
      <c r="E801" t="s">
        <v>38</v>
      </c>
      <c r="F801" t="s">
        <v>56</v>
      </c>
      <c r="G801" s="14">
        <v>42907</v>
      </c>
      <c r="H801" t="s">
        <v>60</v>
      </c>
      <c r="I801" t="s">
        <v>114</v>
      </c>
      <c r="J801" t="s">
        <v>928</v>
      </c>
      <c r="K801">
        <f t="shared" si="62"/>
        <v>1</v>
      </c>
      <c r="L801">
        <f t="shared" si="63"/>
        <v>0</v>
      </c>
      <c r="M801">
        <f t="shared" si="64"/>
        <v>1</v>
      </c>
    </row>
    <row r="802" spans="1:13">
      <c r="A802">
        <v>826</v>
      </c>
      <c r="B802" s="13">
        <v>43491</v>
      </c>
      <c r="C802">
        <f t="shared" si="60"/>
        <v>2019</v>
      </c>
      <c r="D802">
        <f t="shared" si="61"/>
        <v>1</v>
      </c>
      <c r="E802" t="s">
        <v>38</v>
      </c>
      <c r="F802" t="s">
        <v>236</v>
      </c>
      <c r="G802" s="14">
        <v>66471</v>
      </c>
      <c r="H802" t="s">
        <v>57</v>
      </c>
      <c r="I802" t="s">
        <v>106</v>
      </c>
      <c r="J802" t="s">
        <v>929</v>
      </c>
      <c r="K802">
        <f t="shared" si="62"/>
        <v>1</v>
      </c>
      <c r="L802">
        <f t="shared" si="63"/>
        <v>0</v>
      </c>
      <c r="M802">
        <f t="shared" si="64"/>
        <v>1</v>
      </c>
    </row>
    <row r="803" spans="1:13">
      <c r="A803">
        <v>640</v>
      </c>
      <c r="B803" s="13">
        <v>43493</v>
      </c>
      <c r="C803">
        <f t="shared" si="60"/>
        <v>2019</v>
      </c>
      <c r="D803">
        <f t="shared" si="61"/>
        <v>1</v>
      </c>
      <c r="E803" t="s">
        <v>38</v>
      </c>
      <c r="F803" t="s">
        <v>126</v>
      </c>
      <c r="G803" s="14">
        <v>54901</v>
      </c>
      <c r="H803" t="s">
        <v>81</v>
      </c>
      <c r="I803" t="s">
        <v>153</v>
      </c>
      <c r="J803" t="s">
        <v>930</v>
      </c>
      <c r="K803">
        <f t="shared" si="62"/>
        <v>1</v>
      </c>
      <c r="L803">
        <f t="shared" si="63"/>
        <v>0</v>
      </c>
      <c r="M803">
        <f t="shared" si="64"/>
        <v>1</v>
      </c>
    </row>
    <row r="804" spans="1:13">
      <c r="A804">
        <v>17</v>
      </c>
      <c r="B804" s="13">
        <v>43494</v>
      </c>
      <c r="C804">
        <f t="shared" si="60"/>
        <v>2019</v>
      </c>
      <c r="D804">
        <f t="shared" si="61"/>
        <v>1</v>
      </c>
      <c r="E804" t="s">
        <v>47</v>
      </c>
      <c r="F804" t="s">
        <v>132</v>
      </c>
      <c r="G804" s="14">
        <v>66344</v>
      </c>
      <c r="H804" t="s">
        <v>81</v>
      </c>
      <c r="I804" t="s">
        <v>153</v>
      </c>
      <c r="J804" t="s">
        <v>931</v>
      </c>
      <c r="K804">
        <f t="shared" si="62"/>
        <v>1</v>
      </c>
      <c r="L804">
        <f t="shared" si="63"/>
        <v>0</v>
      </c>
      <c r="M804">
        <f t="shared" si="64"/>
        <v>1</v>
      </c>
    </row>
    <row r="805" spans="1:13">
      <c r="A805">
        <v>225</v>
      </c>
      <c r="B805" s="13">
        <v>43494</v>
      </c>
      <c r="C805">
        <f t="shared" si="60"/>
        <v>2019</v>
      </c>
      <c r="D805">
        <f t="shared" si="61"/>
        <v>1</v>
      </c>
      <c r="E805" t="s">
        <v>76</v>
      </c>
      <c r="F805" t="s">
        <v>138</v>
      </c>
      <c r="G805" s="14">
        <v>60541</v>
      </c>
      <c r="H805" t="s">
        <v>57</v>
      </c>
      <c r="I805" t="s">
        <v>160</v>
      </c>
      <c r="J805" t="s">
        <v>932</v>
      </c>
      <c r="K805">
        <f t="shared" si="62"/>
        <v>1</v>
      </c>
      <c r="L805">
        <f t="shared" si="63"/>
        <v>0</v>
      </c>
      <c r="M805">
        <f t="shared" si="64"/>
        <v>1</v>
      </c>
    </row>
    <row r="806" spans="1:13">
      <c r="A806">
        <v>174</v>
      </c>
      <c r="B806" s="13">
        <v>43496</v>
      </c>
      <c r="C806">
        <f t="shared" si="60"/>
        <v>2019</v>
      </c>
      <c r="D806">
        <f t="shared" si="61"/>
        <v>1</v>
      </c>
      <c r="E806" t="s">
        <v>73</v>
      </c>
      <c r="F806" t="s">
        <v>119</v>
      </c>
      <c r="G806" s="14">
        <v>69768</v>
      </c>
      <c r="H806" t="s">
        <v>40</v>
      </c>
      <c r="I806" t="s">
        <v>45</v>
      </c>
      <c r="J806" t="s">
        <v>920</v>
      </c>
      <c r="K806">
        <f t="shared" si="62"/>
        <v>1</v>
      </c>
      <c r="L806">
        <f t="shared" si="63"/>
        <v>0</v>
      </c>
      <c r="M806">
        <f t="shared" si="64"/>
        <v>1</v>
      </c>
    </row>
    <row r="807" spans="1:13">
      <c r="A807">
        <v>672</v>
      </c>
      <c r="B807" s="13">
        <v>43497</v>
      </c>
      <c r="C807">
        <f t="shared" si="60"/>
        <v>2019</v>
      </c>
      <c r="D807">
        <f t="shared" si="61"/>
        <v>2</v>
      </c>
      <c r="E807" t="s">
        <v>76</v>
      </c>
      <c r="F807" t="s">
        <v>138</v>
      </c>
      <c r="G807" s="14">
        <v>51692</v>
      </c>
      <c r="H807" t="s">
        <v>53</v>
      </c>
      <c r="I807" t="s">
        <v>68</v>
      </c>
      <c r="J807" t="s">
        <v>933</v>
      </c>
      <c r="K807">
        <f t="shared" si="62"/>
        <v>1</v>
      </c>
      <c r="L807">
        <f t="shared" si="63"/>
        <v>0</v>
      </c>
      <c r="M807">
        <f t="shared" si="64"/>
        <v>1</v>
      </c>
    </row>
    <row r="808" spans="1:13">
      <c r="A808">
        <v>177</v>
      </c>
      <c r="B808" s="13">
        <v>43501</v>
      </c>
      <c r="C808">
        <f t="shared" si="60"/>
        <v>2019</v>
      </c>
      <c r="D808">
        <f t="shared" si="61"/>
        <v>2</v>
      </c>
      <c r="E808" t="s">
        <v>43</v>
      </c>
      <c r="F808" t="s">
        <v>134</v>
      </c>
      <c r="G808" s="14">
        <v>49360</v>
      </c>
      <c r="H808" t="s">
        <v>81</v>
      </c>
      <c r="I808" t="s">
        <v>146</v>
      </c>
      <c r="J808" t="s">
        <v>934</v>
      </c>
      <c r="K808">
        <f t="shared" si="62"/>
        <v>1</v>
      </c>
      <c r="L808">
        <f t="shared" si="63"/>
        <v>0</v>
      </c>
      <c r="M808">
        <f t="shared" si="64"/>
        <v>1</v>
      </c>
    </row>
    <row r="809" spans="1:13">
      <c r="A809">
        <v>41</v>
      </c>
      <c r="B809" s="13">
        <v>43502</v>
      </c>
      <c r="C809">
        <f t="shared" si="60"/>
        <v>2019</v>
      </c>
      <c r="D809">
        <f t="shared" si="61"/>
        <v>2</v>
      </c>
      <c r="E809" t="s">
        <v>38</v>
      </c>
      <c r="F809" t="s">
        <v>227</v>
      </c>
      <c r="G809" s="14">
        <v>70594</v>
      </c>
      <c r="H809" t="s">
        <v>81</v>
      </c>
      <c r="I809" t="s">
        <v>108</v>
      </c>
      <c r="J809" t="s">
        <v>935</v>
      </c>
      <c r="K809">
        <f t="shared" si="62"/>
        <v>1</v>
      </c>
      <c r="L809">
        <f t="shared" si="63"/>
        <v>0</v>
      </c>
      <c r="M809">
        <f t="shared" si="64"/>
        <v>1</v>
      </c>
    </row>
    <row r="810" spans="1:13">
      <c r="A810">
        <v>163</v>
      </c>
      <c r="B810" s="13">
        <v>43503</v>
      </c>
      <c r="C810">
        <f t="shared" si="60"/>
        <v>2019</v>
      </c>
      <c r="D810">
        <f t="shared" si="61"/>
        <v>2</v>
      </c>
      <c r="E810" t="s">
        <v>63</v>
      </c>
      <c r="F810" t="s">
        <v>248</v>
      </c>
      <c r="G810" s="14">
        <v>74599</v>
      </c>
      <c r="H810" t="s">
        <v>40</v>
      </c>
      <c r="I810" t="s">
        <v>291</v>
      </c>
      <c r="J810" t="s">
        <v>936</v>
      </c>
      <c r="K810">
        <f t="shared" si="62"/>
        <v>1</v>
      </c>
      <c r="L810">
        <f t="shared" si="63"/>
        <v>0</v>
      </c>
      <c r="M810">
        <f t="shared" si="64"/>
        <v>1</v>
      </c>
    </row>
    <row r="811" spans="1:13">
      <c r="A811">
        <v>189</v>
      </c>
      <c r="B811" s="13">
        <v>43503</v>
      </c>
      <c r="C811">
        <f t="shared" si="60"/>
        <v>2019</v>
      </c>
      <c r="D811">
        <f t="shared" si="61"/>
        <v>2</v>
      </c>
      <c r="E811" t="s">
        <v>47</v>
      </c>
      <c r="F811" t="s">
        <v>155</v>
      </c>
      <c r="G811" s="14">
        <v>45299</v>
      </c>
      <c r="H811" t="s">
        <v>53</v>
      </c>
      <c r="I811" t="s">
        <v>78</v>
      </c>
      <c r="J811" t="s">
        <v>937</v>
      </c>
      <c r="K811">
        <f t="shared" si="62"/>
        <v>1</v>
      </c>
      <c r="L811">
        <f t="shared" si="63"/>
        <v>0</v>
      </c>
      <c r="M811">
        <f t="shared" si="64"/>
        <v>1</v>
      </c>
    </row>
    <row r="812" spans="1:13">
      <c r="A812">
        <v>634</v>
      </c>
      <c r="B812" s="13">
        <v>43504</v>
      </c>
      <c r="C812">
        <f t="shared" si="60"/>
        <v>2019</v>
      </c>
      <c r="D812">
        <f t="shared" si="61"/>
        <v>2</v>
      </c>
      <c r="E812" t="s">
        <v>76</v>
      </c>
      <c r="F812" t="s">
        <v>207</v>
      </c>
      <c r="G812" s="14">
        <v>64469</v>
      </c>
      <c r="H812" t="s">
        <v>40</v>
      </c>
      <c r="I812" t="s">
        <v>85</v>
      </c>
      <c r="J812" t="s">
        <v>938</v>
      </c>
      <c r="K812">
        <f t="shared" si="62"/>
        <v>1</v>
      </c>
      <c r="L812">
        <f t="shared" si="63"/>
        <v>0</v>
      </c>
      <c r="M812">
        <f t="shared" si="64"/>
        <v>1</v>
      </c>
    </row>
    <row r="813" spans="1:13">
      <c r="A813">
        <v>26</v>
      </c>
      <c r="B813" s="13">
        <v>43515</v>
      </c>
      <c r="C813">
        <f t="shared" si="60"/>
        <v>2019</v>
      </c>
      <c r="D813">
        <f t="shared" si="61"/>
        <v>2</v>
      </c>
      <c r="E813" t="s">
        <v>43</v>
      </c>
      <c r="F813" t="s">
        <v>44</v>
      </c>
      <c r="G813" s="14">
        <v>75190</v>
      </c>
      <c r="H813" t="s">
        <v>60</v>
      </c>
      <c r="I813" t="s">
        <v>188</v>
      </c>
      <c r="J813" t="s">
        <v>939</v>
      </c>
      <c r="K813">
        <f t="shared" si="62"/>
        <v>1</v>
      </c>
      <c r="L813">
        <f t="shared" si="63"/>
        <v>0</v>
      </c>
      <c r="M813">
        <f t="shared" si="64"/>
        <v>1</v>
      </c>
    </row>
    <row r="814" spans="1:13">
      <c r="A814">
        <v>283</v>
      </c>
      <c r="B814" s="13">
        <v>43515</v>
      </c>
      <c r="C814">
        <f t="shared" si="60"/>
        <v>2019</v>
      </c>
      <c r="D814">
        <f t="shared" si="61"/>
        <v>2</v>
      </c>
      <c r="E814" t="s">
        <v>43</v>
      </c>
      <c r="F814" t="s">
        <v>44</v>
      </c>
      <c r="G814" s="14">
        <v>70262</v>
      </c>
      <c r="H814" t="s">
        <v>40</v>
      </c>
      <c r="I814" t="s">
        <v>158</v>
      </c>
      <c r="J814" t="s">
        <v>940</v>
      </c>
      <c r="K814">
        <f t="shared" si="62"/>
        <v>1</v>
      </c>
      <c r="L814">
        <f t="shared" si="63"/>
        <v>0</v>
      </c>
      <c r="M814">
        <f t="shared" si="64"/>
        <v>1</v>
      </c>
    </row>
    <row r="815" spans="1:13">
      <c r="A815">
        <v>441</v>
      </c>
      <c r="B815" s="13">
        <v>43515</v>
      </c>
      <c r="C815">
        <f t="shared" si="60"/>
        <v>2019</v>
      </c>
      <c r="D815">
        <f t="shared" si="61"/>
        <v>2</v>
      </c>
      <c r="E815" t="s">
        <v>76</v>
      </c>
      <c r="F815" t="s">
        <v>138</v>
      </c>
      <c r="G815" s="14">
        <v>41900</v>
      </c>
      <c r="H815" t="s">
        <v>60</v>
      </c>
      <c r="I815" t="s">
        <v>114</v>
      </c>
      <c r="J815" t="s">
        <v>941</v>
      </c>
      <c r="K815">
        <f t="shared" si="62"/>
        <v>1</v>
      </c>
      <c r="L815">
        <f t="shared" si="63"/>
        <v>0</v>
      </c>
      <c r="M815">
        <f t="shared" si="64"/>
        <v>1</v>
      </c>
    </row>
    <row r="816" spans="1:13">
      <c r="A816">
        <v>291</v>
      </c>
      <c r="B816" s="13">
        <v>43518</v>
      </c>
      <c r="C816">
        <f t="shared" si="60"/>
        <v>2019</v>
      </c>
      <c r="D816">
        <f t="shared" si="61"/>
        <v>2</v>
      </c>
      <c r="E816" t="s">
        <v>43</v>
      </c>
      <c r="F816" t="s">
        <v>70</v>
      </c>
      <c r="G816" s="14">
        <v>42950</v>
      </c>
      <c r="H816" t="s">
        <v>60</v>
      </c>
      <c r="I816" t="s">
        <v>188</v>
      </c>
      <c r="J816" t="s">
        <v>942</v>
      </c>
      <c r="K816">
        <f t="shared" si="62"/>
        <v>1</v>
      </c>
      <c r="L816">
        <f t="shared" si="63"/>
        <v>0</v>
      </c>
      <c r="M816">
        <f t="shared" si="64"/>
        <v>1</v>
      </c>
    </row>
    <row r="817" spans="1:13">
      <c r="A817">
        <v>732</v>
      </c>
      <c r="B817" s="13">
        <v>43531</v>
      </c>
      <c r="C817">
        <f t="shared" si="60"/>
        <v>2019</v>
      </c>
      <c r="D817">
        <f t="shared" si="61"/>
        <v>3</v>
      </c>
      <c r="E817" t="s">
        <v>76</v>
      </c>
      <c r="F817" t="s">
        <v>216</v>
      </c>
      <c r="G817" s="14">
        <v>79447</v>
      </c>
      <c r="H817" t="s">
        <v>53</v>
      </c>
      <c r="I817" t="s">
        <v>68</v>
      </c>
      <c r="J817" t="s">
        <v>943</v>
      </c>
      <c r="K817">
        <f t="shared" si="62"/>
        <v>1</v>
      </c>
      <c r="L817">
        <f t="shared" si="63"/>
        <v>0</v>
      </c>
      <c r="M817">
        <f t="shared" si="64"/>
        <v>1</v>
      </c>
    </row>
    <row r="818" spans="1:13">
      <c r="A818">
        <v>817</v>
      </c>
      <c r="B818" s="13">
        <v>43532</v>
      </c>
      <c r="C818">
        <f t="shared" si="60"/>
        <v>2019</v>
      </c>
      <c r="D818">
        <f t="shared" si="61"/>
        <v>3</v>
      </c>
      <c r="E818" t="s">
        <v>38</v>
      </c>
      <c r="F818" t="s">
        <v>236</v>
      </c>
      <c r="G818" s="14">
        <v>66189</v>
      </c>
      <c r="H818" t="s">
        <v>81</v>
      </c>
      <c r="I818" t="s">
        <v>108</v>
      </c>
      <c r="J818" t="s">
        <v>944</v>
      </c>
      <c r="K818">
        <f t="shared" si="62"/>
        <v>1</v>
      </c>
      <c r="L818">
        <f t="shared" si="63"/>
        <v>0</v>
      </c>
      <c r="M818">
        <f t="shared" si="64"/>
        <v>1</v>
      </c>
    </row>
    <row r="819" spans="1:13">
      <c r="A819">
        <v>54</v>
      </c>
      <c r="B819" s="13">
        <v>43534</v>
      </c>
      <c r="C819">
        <f t="shared" si="60"/>
        <v>2019</v>
      </c>
      <c r="D819">
        <f t="shared" si="61"/>
        <v>3</v>
      </c>
      <c r="E819" t="s">
        <v>47</v>
      </c>
      <c r="F819" t="s">
        <v>136</v>
      </c>
      <c r="G819" s="14">
        <v>59019</v>
      </c>
      <c r="H819" t="s">
        <v>81</v>
      </c>
      <c r="I819" t="s">
        <v>190</v>
      </c>
      <c r="J819" t="s">
        <v>945</v>
      </c>
      <c r="K819">
        <f t="shared" si="62"/>
        <v>1</v>
      </c>
      <c r="L819">
        <f t="shared" si="63"/>
        <v>0</v>
      </c>
      <c r="M819">
        <f t="shared" si="64"/>
        <v>1</v>
      </c>
    </row>
    <row r="820" spans="1:13">
      <c r="A820">
        <v>266</v>
      </c>
      <c r="B820" s="13">
        <v>43535</v>
      </c>
      <c r="C820">
        <f t="shared" si="60"/>
        <v>2019</v>
      </c>
      <c r="D820">
        <f t="shared" si="61"/>
        <v>3</v>
      </c>
      <c r="E820" t="s">
        <v>38</v>
      </c>
      <c r="F820" t="s">
        <v>39</v>
      </c>
      <c r="G820" s="14">
        <v>55395</v>
      </c>
      <c r="H820" t="s">
        <v>57</v>
      </c>
      <c r="I820" t="s">
        <v>65</v>
      </c>
      <c r="J820" t="s">
        <v>946</v>
      </c>
      <c r="K820">
        <f t="shared" si="62"/>
        <v>1</v>
      </c>
      <c r="L820">
        <f t="shared" si="63"/>
        <v>0</v>
      </c>
      <c r="M820">
        <f t="shared" si="64"/>
        <v>1</v>
      </c>
    </row>
    <row r="821" spans="1:13">
      <c r="A821">
        <v>14</v>
      </c>
      <c r="B821" s="13">
        <v>43538</v>
      </c>
      <c r="C821">
        <f t="shared" si="60"/>
        <v>2019</v>
      </c>
      <c r="D821">
        <f t="shared" si="61"/>
        <v>3</v>
      </c>
      <c r="E821" t="s">
        <v>43</v>
      </c>
      <c r="F821" t="s">
        <v>197</v>
      </c>
      <c r="G821" s="14">
        <v>56560</v>
      </c>
      <c r="H821" t="s">
        <v>40</v>
      </c>
      <c r="I821" t="s">
        <v>98</v>
      </c>
      <c r="J821" t="s">
        <v>947</v>
      </c>
      <c r="K821">
        <f t="shared" si="62"/>
        <v>1</v>
      </c>
      <c r="L821">
        <f t="shared" si="63"/>
        <v>0</v>
      </c>
      <c r="M821">
        <f t="shared" si="64"/>
        <v>1</v>
      </c>
    </row>
    <row r="822" spans="1:13">
      <c r="A822">
        <v>882</v>
      </c>
      <c r="B822" s="13">
        <v>43539</v>
      </c>
      <c r="C822">
        <f t="shared" si="60"/>
        <v>2019</v>
      </c>
      <c r="D822">
        <f t="shared" si="61"/>
        <v>3</v>
      </c>
      <c r="E822" t="s">
        <v>47</v>
      </c>
      <c r="F822" t="s">
        <v>48</v>
      </c>
      <c r="G822" s="14">
        <v>73447</v>
      </c>
      <c r="H822" t="s">
        <v>40</v>
      </c>
      <c r="I822" t="s">
        <v>41</v>
      </c>
      <c r="J822" t="s">
        <v>948</v>
      </c>
      <c r="K822">
        <f t="shared" si="62"/>
        <v>1</v>
      </c>
      <c r="L822">
        <f t="shared" si="63"/>
        <v>0</v>
      </c>
      <c r="M822">
        <f t="shared" si="64"/>
        <v>1</v>
      </c>
    </row>
    <row r="823" spans="1:13">
      <c r="A823">
        <v>611</v>
      </c>
      <c r="B823" s="13">
        <v>43541</v>
      </c>
      <c r="C823">
        <f t="shared" si="60"/>
        <v>2019</v>
      </c>
      <c r="D823">
        <f t="shared" si="61"/>
        <v>3</v>
      </c>
      <c r="E823" t="s">
        <v>47</v>
      </c>
      <c r="F823" t="s">
        <v>116</v>
      </c>
      <c r="G823" s="14">
        <v>49206</v>
      </c>
      <c r="H823" t="s">
        <v>49</v>
      </c>
      <c r="I823" t="s">
        <v>96</v>
      </c>
      <c r="J823" t="s">
        <v>949</v>
      </c>
      <c r="K823">
        <f t="shared" si="62"/>
        <v>1</v>
      </c>
      <c r="L823">
        <f t="shared" si="63"/>
        <v>0</v>
      </c>
      <c r="M823">
        <f t="shared" si="64"/>
        <v>1</v>
      </c>
    </row>
    <row r="824" spans="1:13">
      <c r="A824">
        <v>794</v>
      </c>
      <c r="B824" s="13">
        <v>43542</v>
      </c>
      <c r="C824">
        <f t="shared" si="60"/>
        <v>2019</v>
      </c>
      <c r="D824">
        <f t="shared" si="61"/>
        <v>3</v>
      </c>
      <c r="E824" t="s">
        <v>47</v>
      </c>
      <c r="F824" t="s">
        <v>132</v>
      </c>
      <c r="G824" s="14">
        <v>44883</v>
      </c>
      <c r="H824" t="s">
        <v>60</v>
      </c>
      <c r="I824" t="s">
        <v>114</v>
      </c>
      <c r="J824" t="s">
        <v>950</v>
      </c>
      <c r="K824">
        <f t="shared" si="62"/>
        <v>1</v>
      </c>
      <c r="L824">
        <f t="shared" si="63"/>
        <v>0</v>
      </c>
      <c r="M824">
        <f t="shared" si="64"/>
        <v>1</v>
      </c>
    </row>
    <row r="825" spans="1:13">
      <c r="A825">
        <v>913</v>
      </c>
      <c r="B825" s="13">
        <v>43548</v>
      </c>
      <c r="C825">
        <f t="shared" si="60"/>
        <v>2019</v>
      </c>
      <c r="D825">
        <f t="shared" si="61"/>
        <v>3</v>
      </c>
      <c r="E825" t="s">
        <v>38</v>
      </c>
      <c r="F825" t="s">
        <v>126</v>
      </c>
      <c r="G825" s="14">
        <v>75843</v>
      </c>
      <c r="H825" t="s">
        <v>49</v>
      </c>
      <c r="I825" t="s">
        <v>122</v>
      </c>
      <c r="J825" t="s">
        <v>951</v>
      </c>
      <c r="K825">
        <f t="shared" si="62"/>
        <v>1</v>
      </c>
      <c r="L825">
        <f t="shared" si="63"/>
        <v>0</v>
      </c>
      <c r="M825">
        <f t="shared" si="64"/>
        <v>1</v>
      </c>
    </row>
    <row r="826" spans="1:13">
      <c r="A826">
        <v>294</v>
      </c>
      <c r="B826" s="13">
        <v>43562</v>
      </c>
      <c r="C826">
        <f t="shared" si="60"/>
        <v>2019</v>
      </c>
      <c r="D826">
        <f t="shared" si="61"/>
        <v>4</v>
      </c>
      <c r="E826" t="s">
        <v>76</v>
      </c>
      <c r="F826" t="s">
        <v>110</v>
      </c>
      <c r="G826" s="14">
        <v>65551</v>
      </c>
      <c r="H826" t="s">
        <v>49</v>
      </c>
      <c r="I826" t="s">
        <v>103</v>
      </c>
      <c r="J826" t="s">
        <v>952</v>
      </c>
      <c r="K826">
        <f t="shared" si="62"/>
        <v>1</v>
      </c>
      <c r="L826">
        <f t="shared" si="63"/>
        <v>0</v>
      </c>
      <c r="M826">
        <f t="shared" si="64"/>
        <v>1</v>
      </c>
    </row>
    <row r="827" spans="1:13">
      <c r="A827">
        <v>278</v>
      </c>
      <c r="B827" s="13">
        <v>43564</v>
      </c>
      <c r="C827">
        <f t="shared" si="60"/>
        <v>2019</v>
      </c>
      <c r="D827">
        <f t="shared" si="61"/>
        <v>4</v>
      </c>
      <c r="E827" t="s">
        <v>76</v>
      </c>
      <c r="F827" t="s">
        <v>129</v>
      </c>
      <c r="G827" s="14">
        <v>49236</v>
      </c>
      <c r="H827" t="s">
        <v>57</v>
      </c>
      <c r="I827" t="s">
        <v>231</v>
      </c>
      <c r="J827" t="s">
        <v>953</v>
      </c>
      <c r="K827">
        <f t="shared" si="62"/>
        <v>1</v>
      </c>
      <c r="L827">
        <f t="shared" si="63"/>
        <v>0</v>
      </c>
      <c r="M827">
        <f t="shared" si="64"/>
        <v>1</v>
      </c>
    </row>
    <row r="828" spans="1:13">
      <c r="A828">
        <v>385</v>
      </c>
      <c r="B828" s="13">
        <v>43566</v>
      </c>
      <c r="C828">
        <f t="shared" si="60"/>
        <v>2019</v>
      </c>
      <c r="D828">
        <f t="shared" si="61"/>
        <v>4</v>
      </c>
      <c r="E828" t="s">
        <v>76</v>
      </c>
      <c r="F828" t="s">
        <v>294</v>
      </c>
      <c r="G828" s="14">
        <v>79939</v>
      </c>
      <c r="H828" t="s">
        <v>40</v>
      </c>
      <c r="I828" t="s">
        <v>41</v>
      </c>
      <c r="J828" t="s">
        <v>954</v>
      </c>
      <c r="K828">
        <f t="shared" si="62"/>
        <v>1</v>
      </c>
      <c r="L828">
        <f t="shared" si="63"/>
        <v>0</v>
      </c>
      <c r="M828">
        <f t="shared" si="64"/>
        <v>1</v>
      </c>
    </row>
    <row r="829" spans="1:13">
      <c r="A829">
        <v>569</v>
      </c>
      <c r="B829" s="13">
        <v>43567</v>
      </c>
      <c r="C829">
        <f t="shared" si="60"/>
        <v>2019</v>
      </c>
      <c r="D829">
        <f t="shared" si="61"/>
        <v>4</v>
      </c>
      <c r="E829" t="s">
        <v>47</v>
      </c>
      <c r="F829" t="s">
        <v>48</v>
      </c>
      <c r="G829" s="14">
        <v>63051</v>
      </c>
      <c r="H829" t="s">
        <v>40</v>
      </c>
      <c r="I829" t="s">
        <v>85</v>
      </c>
      <c r="J829" t="s">
        <v>955</v>
      </c>
      <c r="K829">
        <f t="shared" si="62"/>
        <v>1</v>
      </c>
      <c r="L829">
        <f t="shared" si="63"/>
        <v>0</v>
      </c>
      <c r="M829">
        <f t="shared" si="64"/>
        <v>1</v>
      </c>
    </row>
    <row r="830" spans="1:13">
      <c r="A830">
        <v>314</v>
      </c>
      <c r="B830" s="13">
        <v>43580</v>
      </c>
      <c r="C830">
        <f t="shared" si="60"/>
        <v>2019</v>
      </c>
      <c r="D830">
        <f t="shared" si="61"/>
        <v>4</v>
      </c>
      <c r="E830" t="s">
        <v>73</v>
      </c>
      <c r="F830" t="s">
        <v>102</v>
      </c>
      <c r="G830" s="14">
        <v>68056</v>
      </c>
      <c r="H830" t="s">
        <v>81</v>
      </c>
      <c r="I830" t="s">
        <v>82</v>
      </c>
      <c r="J830" t="s">
        <v>918</v>
      </c>
      <c r="K830">
        <f t="shared" si="62"/>
        <v>1</v>
      </c>
      <c r="L830">
        <f t="shared" si="63"/>
        <v>0</v>
      </c>
      <c r="M830">
        <f t="shared" si="64"/>
        <v>1</v>
      </c>
    </row>
    <row r="831" spans="1:13">
      <c r="A831">
        <v>22</v>
      </c>
      <c r="B831" s="13">
        <v>43581</v>
      </c>
      <c r="C831">
        <f t="shared" si="60"/>
        <v>2019</v>
      </c>
      <c r="D831">
        <f t="shared" si="61"/>
        <v>4</v>
      </c>
      <c r="E831" t="s">
        <v>43</v>
      </c>
      <c r="F831" t="s">
        <v>197</v>
      </c>
      <c r="G831" s="14">
        <v>59431</v>
      </c>
      <c r="H831" t="s">
        <v>60</v>
      </c>
      <c r="I831" t="s">
        <v>199</v>
      </c>
      <c r="J831" t="s">
        <v>956</v>
      </c>
      <c r="K831">
        <f t="shared" si="62"/>
        <v>1</v>
      </c>
      <c r="L831">
        <f t="shared" si="63"/>
        <v>0</v>
      </c>
      <c r="M831">
        <f t="shared" si="64"/>
        <v>1</v>
      </c>
    </row>
    <row r="832" spans="1:13">
      <c r="A832">
        <v>48</v>
      </c>
      <c r="B832" s="13">
        <v>43585</v>
      </c>
      <c r="C832">
        <f t="shared" si="60"/>
        <v>2019</v>
      </c>
      <c r="D832">
        <f t="shared" si="61"/>
        <v>4</v>
      </c>
      <c r="E832" t="s">
        <v>73</v>
      </c>
      <c r="F832" t="s">
        <v>102</v>
      </c>
      <c r="G832" s="14">
        <v>77055</v>
      </c>
      <c r="H832" t="s">
        <v>53</v>
      </c>
      <c r="I832" t="s">
        <v>78</v>
      </c>
      <c r="J832" t="s">
        <v>957</v>
      </c>
      <c r="K832">
        <f t="shared" si="62"/>
        <v>1</v>
      </c>
      <c r="L832">
        <f t="shared" si="63"/>
        <v>0</v>
      </c>
      <c r="M832">
        <f t="shared" si="64"/>
        <v>1</v>
      </c>
    </row>
    <row r="833" spans="1:13">
      <c r="A833">
        <v>11</v>
      </c>
      <c r="B833" s="13">
        <v>43586</v>
      </c>
      <c r="C833">
        <f t="shared" si="60"/>
        <v>2019</v>
      </c>
      <c r="D833">
        <f t="shared" si="61"/>
        <v>5</v>
      </c>
      <c r="E833" t="s">
        <v>76</v>
      </c>
      <c r="F833" t="s">
        <v>110</v>
      </c>
      <c r="G833" s="14">
        <v>55037</v>
      </c>
      <c r="H833" t="s">
        <v>60</v>
      </c>
      <c r="I833" t="s">
        <v>71</v>
      </c>
      <c r="J833" t="s">
        <v>958</v>
      </c>
      <c r="K833">
        <f t="shared" si="62"/>
        <v>1</v>
      </c>
      <c r="L833">
        <f t="shared" si="63"/>
        <v>0</v>
      </c>
      <c r="M833">
        <f t="shared" si="64"/>
        <v>1</v>
      </c>
    </row>
    <row r="834" spans="1:13">
      <c r="A834">
        <v>234</v>
      </c>
      <c r="B834" s="13">
        <v>43586</v>
      </c>
      <c r="C834">
        <f t="shared" ref="C834:C897" si="65">YEAR(B834)</f>
        <v>2019</v>
      </c>
      <c r="D834">
        <f t="shared" ref="D834:D897" si="66">MONTH(B834)</f>
        <v>5</v>
      </c>
      <c r="E834" t="s">
        <v>38</v>
      </c>
      <c r="F834" t="s">
        <v>112</v>
      </c>
      <c r="G834" s="14">
        <v>56912</v>
      </c>
      <c r="H834" t="s">
        <v>53</v>
      </c>
      <c r="I834" t="s">
        <v>120</v>
      </c>
      <c r="J834" t="s">
        <v>959</v>
      </c>
      <c r="K834">
        <f t="shared" ref="K834:K897" si="67">IF(AND(OR(sel_ano="Todos",C834=sel_ano),OR(sel_pais="Todos",H834=sel_pais),OR(sel_marca="Todas",E834=sel_marca)),1,0)</f>
        <v>1</v>
      </c>
      <c r="L834">
        <f t="shared" ref="L834:L897" si="68">IF(sel_ano="Todos",0,IF(AND(C834=sel_ano-1,OR(sel_pais="Todos",H834=sel_pais),OR(sel_marca="Todas",E834=sel_marca)),1,0))</f>
        <v>0</v>
      </c>
      <c r="M834">
        <f t="shared" ref="M834:M897" si="69">IF(AND(OR(sel_pais="Todos",H834=sel_pais),OR(sel_marca="Todas",E834=sel_marca)),1,0)</f>
        <v>1</v>
      </c>
    </row>
    <row r="835" spans="1:13">
      <c r="A835">
        <v>187</v>
      </c>
      <c r="B835" s="13">
        <v>43592</v>
      </c>
      <c r="C835">
        <f t="shared" si="65"/>
        <v>2019</v>
      </c>
      <c r="D835">
        <f t="shared" si="66"/>
        <v>5</v>
      </c>
      <c r="E835" t="s">
        <v>43</v>
      </c>
      <c r="F835" t="s">
        <v>87</v>
      </c>
      <c r="G835" s="14">
        <v>49237</v>
      </c>
      <c r="H835" t="s">
        <v>60</v>
      </c>
      <c r="I835" t="s">
        <v>188</v>
      </c>
      <c r="J835" t="s">
        <v>960</v>
      </c>
      <c r="K835">
        <f t="shared" si="67"/>
        <v>1</v>
      </c>
      <c r="L835">
        <f t="shared" si="68"/>
        <v>0</v>
      </c>
      <c r="M835">
        <f t="shared" si="69"/>
        <v>1</v>
      </c>
    </row>
    <row r="836" spans="1:13">
      <c r="A836">
        <v>537</v>
      </c>
      <c r="B836" s="13">
        <v>43593</v>
      </c>
      <c r="C836">
        <f t="shared" si="65"/>
        <v>2019</v>
      </c>
      <c r="D836">
        <f t="shared" si="66"/>
        <v>5</v>
      </c>
      <c r="E836" t="s">
        <v>43</v>
      </c>
      <c r="F836" t="s">
        <v>134</v>
      </c>
      <c r="G836" s="14">
        <v>56026</v>
      </c>
      <c r="H836" t="s">
        <v>57</v>
      </c>
      <c r="I836" t="s">
        <v>106</v>
      </c>
      <c r="J836" t="s">
        <v>961</v>
      </c>
      <c r="K836">
        <f t="shared" si="67"/>
        <v>1</v>
      </c>
      <c r="L836">
        <f t="shared" si="68"/>
        <v>0</v>
      </c>
      <c r="M836">
        <f t="shared" si="69"/>
        <v>1</v>
      </c>
    </row>
    <row r="837" spans="1:13">
      <c r="A837">
        <v>694</v>
      </c>
      <c r="B837" s="13">
        <v>43596</v>
      </c>
      <c r="C837">
        <f t="shared" si="65"/>
        <v>2019</v>
      </c>
      <c r="D837">
        <f t="shared" si="66"/>
        <v>5</v>
      </c>
      <c r="E837" t="s">
        <v>43</v>
      </c>
      <c r="F837" t="s">
        <v>134</v>
      </c>
      <c r="G837" s="14">
        <v>71912</v>
      </c>
      <c r="H837" t="s">
        <v>60</v>
      </c>
      <c r="I837" t="s">
        <v>114</v>
      </c>
      <c r="J837" t="s">
        <v>962</v>
      </c>
      <c r="K837">
        <f t="shared" si="67"/>
        <v>1</v>
      </c>
      <c r="L837">
        <f t="shared" si="68"/>
        <v>0</v>
      </c>
      <c r="M837">
        <f t="shared" si="69"/>
        <v>1</v>
      </c>
    </row>
    <row r="838" spans="1:13">
      <c r="A838">
        <v>789</v>
      </c>
      <c r="B838" s="13">
        <v>43599</v>
      </c>
      <c r="C838">
        <f t="shared" si="65"/>
        <v>2019</v>
      </c>
      <c r="D838">
        <f t="shared" si="66"/>
        <v>5</v>
      </c>
      <c r="E838" t="s">
        <v>76</v>
      </c>
      <c r="F838" t="s">
        <v>138</v>
      </c>
      <c r="G838" s="14">
        <v>54173</v>
      </c>
      <c r="H838" t="s">
        <v>53</v>
      </c>
      <c r="I838" t="s">
        <v>68</v>
      </c>
      <c r="J838" t="s">
        <v>963</v>
      </c>
      <c r="K838">
        <f t="shared" si="67"/>
        <v>1</v>
      </c>
      <c r="L838">
        <f t="shared" si="68"/>
        <v>0</v>
      </c>
      <c r="M838">
        <f t="shared" si="69"/>
        <v>1</v>
      </c>
    </row>
    <row r="839" spans="1:13">
      <c r="A839">
        <v>901</v>
      </c>
      <c r="B839" s="13">
        <v>43603</v>
      </c>
      <c r="C839">
        <f t="shared" si="65"/>
        <v>2019</v>
      </c>
      <c r="D839">
        <f t="shared" si="66"/>
        <v>5</v>
      </c>
      <c r="E839" t="s">
        <v>43</v>
      </c>
      <c r="F839" t="s">
        <v>197</v>
      </c>
      <c r="G839" s="14">
        <v>75614</v>
      </c>
      <c r="H839" t="s">
        <v>40</v>
      </c>
      <c r="I839" t="s">
        <v>88</v>
      </c>
      <c r="J839" t="s">
        <v>964</v>
      </c>
      <c r="K839">
        <f t="shared" si="67"/>
        <v>1</v>
      </c>
      <c r="L839">
        <f t="shared" si="68"/>
        <v>0</v>
      </c>
      <c r="M839">
        <f t="shared" si="69"/>
        <v>1</v>
      </c>
    </row>
    <row r="840" spans="1:13">
      <c r="A840">
        <v>573</v>
      </c>
      <c r="B840" s="13">
        <v>43607</v>
      </c>
      <c r="C840">
        <f t="shared" si="65"/>
        <v>2019</v>
      </c>
      <c r="D840">
        <f t="shared" si="66"/>
        <v>5</v>
      </c>
      <c r="E840" t="s">
        <v>43</v>
      </c>
      <c r="F840" t="s">
        <v>44</v>
      </c>
      <c r="G840" s="14">
        <v>46572</v>
      </c>
      <c r="H840" t="s">
        <v>49</v>
      </c>
      <c r="I840" t="s">
        <v>151</v>
      </c>
      <c r="J840" t="s">
        <v>965</v>
      </c>
      <c r="K840">
        <f t="shared" si="67"/>
        <v>1</v>
      </c>
      <c r="L840">
        <f t="shared" si="68"/>
        <v>0</v>
      </c>
      <c r="M840">
        <f t="shared" si="69"/>
        <v>1</v>
      </c>
    </row>
    <row r="841" spans="1:13">
      <c r="A841">
        <v>632</v>
      </c>
      <c r="B841" s="13">
        <v>43609</v>
      </c>
      <c r="C841">
        <f t="shared" si="65"/>
        <v>2019</v>
      </c>
      <c r="D841">
        <f t="shared" si="66"/>
        <v>5</v>
      </c>
      <c r="E841" t="s">
        <v>73</v>
      </c>
      <c r="F841" t="s">
        <v>119</v>
      </c>
      <c r="G841" s="14">
        <v>78836</v>
      </c>
      <c r="H841" t="s">
        <v>57</v>
      </c>
      <c r="I841" t="s">
        <v>58</v>
      </c>
      <c r="J841" t="s">
        <v>966</v>
      </c>
      <c r="K841">
        <f t="shared" si="67"/>
        <v>1</v>
      </c>
      <c r="L841">
        <f t="shared" si="68"/>
        <v>0</v>
      </c>
      <c r="M841">
        <f t="shared" si="69"/>
        <v>1</v>
      </c>
    </row>
    <row r="842" spans="1:13">
      <c r="A842">
        <v>860</v>
      </c>
      <c r="B842" s="13">
        <v>43610</v>
      </c>
      <c r="C842">
        <f t="shared" si="65"/>
        <v>2019</v>
      </c>
      <c r="D842">
        <f t="shared" si="66"/>
        <v>5</v>
      </c>
      <c r="E842" t="s">
        <v>73</v>
      </c>
      <c r="F842" t="s">
        <v>102</v>
      </c>
      <c r="G842" s="14">
        <v>66647</v>
      </c>
      <c r="H842" t="s">
        <v>60</v>
      </c>
      <c r="I842" t="s">
        <v>188</v>
      </c>
      <c r="J842" t="s">
        <v>967</v>
      </c>
      <c r="K842">
        <f t="shared" si="67"/>
        <v>1</v>
      </c>
      <c r="L842">
        <f t="shared" si="68"/>
        <v>0</v>
      </c>
      <c r="M842">
        <f t="shared" si="69"/>
        <v>1</v>
      </c>
    </row>
    <row r="843" spans="1:13">
      <c r="A843">
        <v>689</v>
      </c>
      <c r="B843" s="13">
        <v>43615</v>
      </c>
      <c r="C843">
        <f t="shared" si="65"/>
        <v>2019</v>
      </c>
      <c r="D843">
        <f t="shared" si="66"/>
        <v>5</v>
      </c>
      <c r="E843" t="s">
        <v>76</v>
      </c>
      <c r="F843" t="s">
        <v>216</v>
      </c>
      <c r="G843" s="14">
        <v>54302</v>
      </c>
      <c r="H843" t="s">
        <v>40</v>
      </c>
      <c r="I843" t="s">
        <v>158</v>
      </c>
      <c r="J843" t="s">
        <v>968</v>
      </c>
      <c r="K843">
        <f t="shared" si="67"/>
        <v>1</v>
      </c>
      <c r="L843">
        <f t="shared" si="68"/>
        <v>0</v>
      </c>
      <c r="M843">
        <f t="shared" si="69"/>
        <v>1</v>
      </c>
    </row>
    <row r="844" spans="1:13">
      <c r="A844">
        <v>298</v>
      </c>
      <c r="B844" s="13">
        <v>43620</v>
      </c>
      <c r="C844">
        <f t="shared" si="65"/>
        <v>2019</v>
      </c>
      <c r="D844">
        <f t="shared" si="66"/>
        <v>6</v>
      </c>
      <c r="E844" t="s">
        <v>47</v>
      </c>
      <c r="F844" t="s">
        <v>182</v>
      </c>
      <c r="G844" s="14">
        <v>75782</v>
      </c>
      <c r="H844" t="s">
        <v>53</v>
      </c>
      <c r="I844" t="s">
        <v>92</v>
      </c>
      <c r="J844" t="s">
        <v>969</v>
      </c>
      <c r="K844">
        <f t="shared" si="67"/>
        <v>1</v>
      </c>
      <c r="L844">
        <f t="shared" si="68"/>
        <v>0</v>
      </c>
      <c r="M844">
        <f t="shared" si="69"/>
        <v>1</v>
      </c>
    </row>
    <row r="845" spans="1:13">
      <c r="A845">
        <v>280</v>
      </c>
      <c r="B845" s="13">
        <v>43622</v>
      </c>
      <c r="C845">
        <f t="shared" si="65"/>
        <v>2019</v>
      </c>
      <c r="D845">
        <f t="shared" si="66"/>
        <v>6</v>
      </c>
      <c r="E845" t="s">
        <v>47</v>
      </c>
      <c r="F845" t="s">
        <v>136</v>
      </c>
      <c r="G845" s="14">
        <v>41316</v>
      </c>
      <c r="H845" t="s">
        <v>53</v>
      </c>
      <c r="I845" t="s">
        <v>78</v>
      </c>
      <c r="J845" t="s">
        <v>970</v>
      </c>
      <c r="K845">
        <f t="shared" si="67"/>
        <v>1</v>
      </c>
      <c r="L845">
        <f t="shared" si="68"/>
        <v>0</v>
      </c>
      <c r="M845">
        <f t="shared" si="69"/>
        <v>1</v>
      </c>
    </row>
    <row r="846" spans="1:13">
      <c r="A846">
        <v>532</v>
      </c>
      <c r="B846" s="13">
        <v>43625</v>
      </c>
      <c r="C846">
        <f t="shared" si="65"/>
        <v>2019</v>
      </c>
      <c r="D846">
        <f t="shared" si="66"/>
        <v>6</v>
      </c>
      <c r="E846" t="s">
        <v>47</v>
      </c>
      <c r="F846" t="s">
        <v>136</v>
      </c>
      <c r="G846" s="14">
        <v>79707</v>
      </c>
      <c r="H846" t="s">
        <v>53</v>
      </c>
      <c r="I846" t="s">
        <v>54</v>
      </c>
      <c r="J846" t="s">
        <v>971</v>
      </c>
      <c r="K846">
        <f t="shared" si="67"/>
        <v>1</v>
      </c>
      <c r="L846">
        <f t="shared" si="68"/>
        <v>0</v>
      </c>
      <c r="M846">
        <f t="shared" si="69"/>
        <v>1</v>
      </c>
    </row>
    <row r="847" spans="1:13">
      <c r="A847">
        <v>87</v>
      </c>
      <c r="B847" s="13">
        <v>43635</v>
      </c>
      <c r="C847">
        <f t="shared" si="65"/>
        <v>2019</v>
      </c>
      <c r="D847">
        <f t="shared" si="66"/>
        <v>6</v>
      </c>
      <c r="E847" t="s">
        <v>73</v>
      </c>
      <c r="F847" t="s">
        <v>223</v>
      </c>
      <c r="G847" s="14">
        <v>72554</v>
      </c>
      <c r="H847" t="s">
        <v>60</v>
      </c>
      <c r="I847" t="s">
        <v>114</v>
      </c>
      <c r="J847" t="s">
        <v>972</v>
      </c>
      <c r="K847">
        <f t="shared" si="67"/>
        <v>1</v>
      </c>
      <c r="L847">
        <f t="shared" si="68"/>
        <v>0</v>
      </c>
      <c r="M847">
        <f t="shared" si="69"/>
        <v>1</v>
      </c>
    </row>
    <row r="848" spans="1:13">
      <c r="A848">
        <v>90</v>
      </c>
      <c r="B848" s="13">
        <v>43638</v>
      </c>
      <c r="C848">
        <f t="shared" si="65"/>
        <v>2019</v>
      </c>
      <c r="D848">
        <f t="shared" si="66"/>
        <v>6</v>
      </c>
      <c r="E848" t="s">
        <v>43</v>
      </c>
      <c r="F848" t="s">
        <v>44</v>
      </c>
      <c r="G848" s="14">
        <v>71587</v>
      </c>
      <c r="H848" t="s">
        <v>40</v>
      </c>
      <c r="I848" t="s">
        <v>98</v>
      </c>
      <c r="J848" t="s">
        <v>973</v>
      </c>
      <c r="K848">
        <f t="shared" si="67"/>
        <v>1</v>
      </c>
      <c r="L848">
        <f t="shared" si="68"/>
        <v>0</v>
      </c>
      <c r="M848">
        <f t="shared" si="69"/>
        <v>1</v>
      </c>
    </row>
    <row r="849" spans="1:13">
      <c r="A849">
        <v>837</v>
      </c>
      <c r="B849" s="13">
        <v>43640</v>
      </c>
      <c r="C849">
        <f t="shared" si="65"/>
        <v>2019</v>
      </c>
      <c r="D849">
        <f t="shared" si="66"/>
        <v>6</v>
      </c>
      <c r="E849" t="s">
        <v>76</v>
      </c>
      <c r="F849" t="s">
        <v>129</v>
      </c>
      <c r="G849" s="14">
        <v>41436</v>
      </c>
      <c r="H849" t="s">
        <v>49</v>
      </c>
      <c r="I849" t="s">
        <v>151</v>
      </c>
      <c r="J849" t="s">
        <v>974</v>
      </c>
      <c r="K849">
        <f t="shared" si="67"/>
        <v>1</v>
      </c>
      <c r="L849">
        <f t="shared" si="68"/>
        <v>0</v>
      </c>
      <c r="M849">
        <f t="shared" si="69"/>
        <v>1</v>
      </c>
    </row>
    <row r="850" spans="1:13">
      <c r="A850">
        <v>374</v>
      </c>
      <c r="B850" s="13">
        <v>43641</v>
      </c>
      <c r="C850">
        <f t="shared" si="65"/>
        <v>2019</v>
      </c>
      <c r="D850">
        <f t="shared" si="66"/>
        <v>6</v>
      </c>
      <c r="E850" t="s">
        <v>76</v>
      </c>
      <c r="F850" t="s">
        <v>294</v>
      </c>
      <c r="G850" s="14">
        <v>48373</v>
      </c>
      <c r="H850" t="s">
        <v>40</v>
      </c>
      <c r="I850" t="s">
        <v>45</v>
      </c>
      <c r="J850" t="s">
        <v>975</v>
      </c>
      <c r="K850">
        <f t="shared" si="67"/>
        <v>1</v>
      </c>
      <c r="L850">
        <f t="shared" si="68"/>
        <v>0</v>
      </c>
      <c r="M850">
        <f t="shared" si="69"/>
        <v>1</v>
      </c>
    </row>
    <row r="851" spans="1:13">
      <c r="A851">
        <v>398</v>
      </c>
      <c r="B851" s="13">
        <v>43644</v>
      </c>
      <c r="C851">
        <f t="shared" si="65"/>
        <v>2019</v>
      </c>
      <c r="D851">
        <f t="shared" si="66"/>
        <v>6</v>
      </c>
      <c r="E851" t="s">
        <v>76</v>
      </c>
      <c r="F851" t="s">
        <v>138</v>
      </c>
      <c r="G851" s="14">
        <v>49525</v>
      </c>
      <c r="H851" t="s">
        <v>49</v>
      </c>
      <c r="I851" t="s">
        <v>50</v>
      </c>
      <c r="J851" t="s">
        <v>976</v>
      </c>
      <c r="K851">
        <f t="shared" si="67"/>
        <v>1</v>
      </c>
      <c r="L851">
        <f t="shared" si="68"/>
        <v>0</v>
      </c>
      <c r="M851">
        <f t="shared" si="69"/>
        <v>1</v>
      </c>
    </row>
    <row r="852" spans="1:13">
      <c r="A852">
        <v>505</v>
      </c>
      <c r="B852" s="13">
        <v>43647</v>
      </c>
      <c r="C852">
        <f t="shared" si="65"/>
        <v>2019</v>
      </c>
      <c r="D852">
        <f t="shared" si="66"/>
        <v>7</v>
      </c>
      <c r="E852" t="s">
        <v>73</v>
      </c>
      <c r="F852" t="s">
        <v>119</v>
      </c>
      <c r="G852" s="14">
        <v>40648</v>
      </c>
      <c r="H852" t="s">
        <v>60</v>
      </c>
      <c r="I852" t="s">
        <v>188</v>
      </c>
      <c r="J852" t="s">
        <v>977</v>
      </c>
      <c r="K852">
        <f t="shared" si="67"/>
        <v>1</v>
      </c>
      <c r="L852">
        <f t="shared" si="68"/>
        <v>0</v>
      </c>
      <c r="M852">
        <f t="shared" si="69"/>
        <v>1</v>
      </c>
    </row>
    <row r="853" spans="1:13">
      <c r="A853">
        <v>117</v>
      </c>
      <c r="B853" s="13">
        <v>43649</v>
      </c>
      <c r="C853">
        <f t="shared" si="65"/>
        <v>2019</v>
      </c>
      <c r="D853">
        <f t="shared" si="66"/>
        <v>7</v>
      </c>
      <c r="E853" t="s">
        <v>63</v>
      </c>
      <c r="F853" t="s">
        <v>248</v>
      </c>
      <c r="G853" s="14">
        <v>66880.990000000005</v>
      </c>
      <c r="H853" t="s">
        <v>60</v>
      </c>
      <c r="I853" t="s">
        <v>61</v>
      </c>
      <c r="J853" t="s">
        <v>978</v>
      </c>
      <c r="K853">
        <f t="shared" si="67"/>
        <v>1</v>
      </c>
      <c r="L853">
        <f t="shared" si="68"/>
        <v>0</v>
      </c>
      <c r="M853">
        <f t="shared" si="69"/>
        <v>1</v>
      </c>
    </row>
    <row r="854" spans="1:13">
      <c r="A854">
        <v>948</v>
      </c>
      <c r="B854" s="13">
        <v>43649</v>
      </c>
      <c r="C854">
        <f t="shared" si="65"/>
        <v>2019</v>
      </c>
      <c r="D854">
        <f t="shared" si="66"/>
        <v>7</v>
      </c>
      <c r="E854" t="s">
        <v>43</v>
      </c>
      <c r="F854" t="s">
        <v>134</v>
      </c>
      <c r="G854" s="14">
        <v>57505</v>
      </c>
      <c r="H854" t="s">
        <v>40</v>
      </c>
      <c r="I854" t="s">
        <v>98</v>
      </c>
      <c r="J854" t="s">
        <v>979</v>
      </c>
      <c r="K854">
        <f t="shared" si="67"/>
        <v>1</v>
      </c>
      <c r="L854">
        <f t="shared" si="68"/>
        <v>0</v>
      </c>
      <c r="M854">
        <f t="shared" si="69"/>
        <v>1</v>
      </c>
    </row>
    <row r="855" spans="1:13">
      <c r="A855">
        <v>400</v>
      </c>
      <c r="B855" s="13">
        <v>43650</v>
      </c>
      <c r="C855">
        <f t="shared" si="65"/>
        <v>2019</v>
      </c>
      <c r="D855">
        <f t="shared" si="66"/>
        <v>7</v>
      </c>
      <c r="E855" t="s">
        <v>38</v>
      </c>
      <c r="F855" t="s">
        <v>56</v>
      </c>
      <c r="G855" s="14">
        <v>70642</v>
      </c>
      <c r="H855" t="s">
        <v>49</v>
      </c>
      <c r="I855" t="s">
        <v>96</v>
      </c>
      <c r="J855" t="s">
        <v>980</v>
      </c>
      <c r="K855">
        <f t="shared" si="67"/>
        <v>1</v>
      </c>
      <c r="L855">
        <f t="shared" si="68"/>
        <v>0</v>
      </c>
      <c r="M855">
        <f t="shared" si="69"/>
        <v>1</v>
      </c>
    </row>
    <row r="856" spans="1:13">
      <c r="A856">
        <v>675</v>
      </c>
      <c r="B856" s="13">
        <v>43653</v>
      </c>
      <c r="C856">
        <f t="shared" si="65"/>
        <v>2019</v>
      </c>
      <c r="D856">
        <f t="shared" si="66"/>
        <v>7</v>
      </c>
      <c r="E856" t="s">
        <v>63</v>
      </c>
      <c r="F856" t="s">
        <v>162</v>
      </c>
      <c r="G856" s="14">
        <v>73617</v>
      </c>
      <c r="H856" t="s">
        <v>40</v>
      </c>
      <c r="I856" t="s">
        <v>180</v>
      </c>
      <c r="J856" t="s">
        <v>788</v>
      </c>
      <c r="K856">
        <f t="shared" si="67"/>
        <v>1</v>
      </c>
      <c r="L856">
        <f t="shared" si="68"/>
        <v>0</v>
      </c>
      <c r="M856">
        <f t="shared" si="69"/>
        <v>1</v>
      </c>
    </row>
    <row r="857" spans="1:13">
      <c r="A857">
        <v>576</v>
      </c>
      <c r="B857" s="13">
        <v>43657</v>
      </c>
      <c r="C857">
        <f t="shared" si="65"/>
        <v>2019</v>
      </c>
      <c r="D857">
        <f t="shared" si="66"/>
        <v>7</v>
      </c>
      <c r="E857" t="s">
        <v>76</v>
      </c>
      <c r="F857" t="s">
        <v>110</v>
      </c>
      <c r="G857" s="14">
        <v>43530</v>
      </c>
      <c r="H857" t="s">
        <v>57</v>
      </c>
      <c r="I857" t="s">
        <v>65</v>
      </c>
      <c r="J857" t="s">
        <v>981</v>
      </c>
      <c r="K857">
        <f t="shared" si="67"/>
        <v>1</v>
      </c>
      <c r="L857">
        <f t="shared" si="68"/>
        <v>0</v>
      </c>
      <c r="M857">
        <f t="shared" si="69"/>
        <v>1</v>
      </c>
    </row>
    <row r="858" spans="1:13">
      <c r="A858">
        <v>666</v>
      </c>
      <c r="B858" s="13">
        <v>43657</v>
      </c>
      <c r="C858">
        <f t="shared" si="65"/>
        <v>2019</v>
      </c>
      <c r="D858">
        <f t="shared" si="66"/>
        <v>7</v>
      </c>
      <c r="E858" t="s">
        <v>76</v>
      </c>
      <c r="F858" t="s">
        <v>110</v>
      </c>
      <c r="G858" s="14">
        <v>60832</v>
      </c>
      <c r="H858" t="s">
        <v>40</v>
      </c>
      <c r="I858" t="s">
        <v>100</v>
      </c>
      <c r="J858" t="s">
        <v>982</v>
      </c>
      <c r="K858">
        <f t="shared" si="67"/>
        <v>1</v>
      </c>
      <c r="L858">
        <f t="shared" si="68"/>
        <v>0</v>
      </c>
      <c r="M858">
        <f t="shared" si="69"/>
        <v>1</v>
      </c>
    </row>
    <row r="859" spans="1:13">
      <c r="A859">
        <v>713</v>
      </c>
      <c r="B859" s="13">
        <v>43661</v>
      </c>
      <c r="C859">
        <f t="shared" si="65"/>
        <v>2019</v>
      </c>
      <c r="D859">
        <f t="shared" si="66"/>
        <v>7</v>
      </c>
      <c r="E859" t="s">
        <v>76</v>
      </c>
      <c r="F859" t="s">
        <v>91</v>
      </c>
      <c r="G859" s="14">
        <v>41336</v>
      </c>
      <c r="H859" t="s">
        <v>57</v>
      </c>
      <c r="I859" t="s">
        <v>106</v>
      </c>
      <c r="J859" t="s">
        <v>983</v>
      </c>
      <c r="K859">
        <f t="shared" si="67"/>
        <v>1</v>
      </c>
      <c r="L859">
        <f t="shared" si="68"/>
        <v>0</v>
      </c>
      <c r="M859">
        <f t="shared" si="69"/>
        <v>1</v>
      </c>
    </row>
    <row r="860" spans="1:13">
      <c r="A860">
        <v>855</v>
      </c>
      <c r="B860" s="13">
        <v>43661</v>
      </c>
      <c r="C860">
        <f t="shared" si="65"/>
        <v>2019</v>
      </c>
      <c r="D860">
        <f t="shared" si="66"/>
        <v>7</v>
      </c>
      <c r="E860" t="s">
        <v>43</v>
      </c>
      <c r="F860" t="s">
        <v>67</v>
      </c>
      <c r="G860" s="14">
        <v>44352</v>
      </c>
      <c r="H860" t="s">
        <v>57</v>
      </c>
      <c r="I860" t="s">
        <v>160</v>
      </c>
      <c r="J860" t="s">
        <v>984</v>
      </c>
      <c r="K860">
        <f t="shared" si="67"/>
        <v>1</v>
      </c>
      <c r="L860">
        <f t="shared" si="68"/>
        <v>0</v>
      </c>
      <c r="M860">
        <f t="shared" si="69"/>
        <v>1</v>
      </c>
    </row>
    <row r="861" spans="1:13">
      <c r="A861">
        <v>178</v>
      </c>
      <c r="B861" s="13">
        <v>43662</v>
      </c>
      <c r="C861">
        <f t="shared" si="65"/>
        <v>2019</v>
      </c>
      <c r="D861">
        <f t="shared" si="66"/>
        <v>7</v>
      </c>
      <c r="E861" t="s">
        <v>38</v>
      </c>
      <c r="F861" t="s">
        <v>39</v>
      </c>
      <c r="G861" s="14">
        <v>61899</v>
      </c>
      <c r="H861" t="s">
        <v>40</v>
      </c>
      <c r="I861" t="s">
        <v>144</v>
      </c>
      <c r="J861" t="s">
        <v>985</v>
      </c>
      <c r="K861">
        <f t="shared" si="67"/>
        <v>1</v>
      </c>
      <c r="L861">
        <f t="shared" si="68"/>
        <v>0</v>
      </c>
      <c r="M861">
        <f t="shared" si="69"/>
        <v>1</v>
      </c>
    </row>
    <row r="862" spans="1:13">
      <c r="A862">
        <v>842</v>
      </c>
      <c r="B862" s="13">
        <v>43662</v>
      </c>
      <c r="C862">
        <f t="shared" si="65"/>
        <v>2019</v>
      </c>
      <c r="D862">
        <f t="shared" si="66"/>
        <v>7</v>
      </c>
      <c r="E862" t="s">
        <v>47</v>
      </c>
      <c r="F862" t="s">
        <v>132</v>
      </c>
      <c r="G862" s="14">
        <v>79021</v>
      </c>
      <c r="H862" t="s">
        <v>60</v>
      </c>
      <c r="I862" t="s">
        <v>188</v>
      </c>
      <c r="J862" t="s">
        <v>986</v>
      </c>
      <c r="K862">
        <f t="shared" si="67"/>
        <v>1</v>
      </c>
      <c r="L862">
        <f t="shared" si="68"/>
        <v>0</v>
      </c>
      <c r="M862">
        <f t="shared" si="69"/>
        <v>1</v>
      </c>
    </row>
    <row r="863" spans="1:13">
      <c r="A863">
        <v>447</v>
      </c>
      <c r="B863" s="13">
        <v>43663</v>
      </c>
      <c r="C863">
        <f t="shared" si="65"/>
        <v>2019</v>
      </c>
      <c r="D863">
        <f t="shared" si="66"/>
        <v>7</v>
      </c>
      <c r="E863" t="s">
        <v>76</v>
      </c>
      <c r="F863" t="s">
        <v>138</v>
      </c>
      <c r="G863" s="14">
        <v>56224</v>
      </c>
      <c r="H863" t="s">
        <v>53</v>
      </c>
      <c r="I863" t="s">
        <v>92</v>
      </c>
      <c r="J863" t="s">
        <v>987</v>
      </c>
      <c r="K863">
        <f t="shared" si="67"/>
        <v>1</v>
      </c>
      <c r="L863">
        <f t="shared" si="68"/>
        <v>0</v>
      </c>
      <c r="M863">
        <f t="shared" si="69"/>
        <v>1</v>
      </c>
    </row>
    <row r="864" spans="1:13">
      <c r="A864">
        <v>898</v>
      </c>
      <c r="B864" s="13">
        <v>43663</v>
      </c>
      <c r="C864">
        <f t="shared" si="65"/>
        <v>2019</v>
      </c>
      <c r="D864">
        <f t="shared" si="66"/>
        <v>7</v>
      </c>
      <c r="E864" t="s">
        <v>63</v>
      </c>
      <c r="F864" t="s">
        <v>243</v>
      </c>
      <c r="G864" s="14">
        <v>72893</v>
      </c>
      <c r="H864" t="s">
        <v>40</v>
      </c>
      <c r="I864" t="s">
        <v>180</v>
      </c>
      <c r="J864" t="s">
        <v>988</v>
      </c>
      <c r="K864">
        <f t="shared" si="67"/>
        <v>1</v>
      </c>
      <c r="L864">
        <f t="shared" si="68"/>
        <v>0</v>
      </c>
      <c r="M864">
        <f t="shared" si="69"/>
        <v>1</v>
      </c>
    </row>
    <row r="865" spans="1:13">
      <c r="A865">
        <v>288</v>
      </c>
      <c r="B865" s="13">
        <v>43665</v>
      </c>
      <c r="C865">
        <f t="shared" si="65"/>
        <v>2019</v>
      </c>
      <c r="D865">
        <f t="shared" si="66"/>
        <v>7</v>
      </c>
      <c r="E865" t="s">
        <v>73</v>
      </c>
      <c r="F865" t="s">
        <v>140</v>
      </c>
      <c r="G865" s="14">
        <v>45937</v>
      </c>
      <c r="H865" t="s">
        <v>60</v>
      </c>
      <c r="I865" t="s">
        <v>61</v>
      </c>
      <c r="J865" t="s">
        <v>989</v>
      </c>
      <c r="K865">
        <f t="shared" si="67"/>
        <v>1</v>
      </c>
      <c r="L865">
        <f t="shared" si="68"/>
        <v>0</v>
      </c>
      <c r="M865">
        <f t="shared" si="69"/>
        <v>1</v>
      </c>
    </row>
    <row r="866" spans="1:13">
      <c r="A866">
        <v>466</v>
      </c>
      <c r="B866" s="13">
        <v>43665</v>
      </c>
      <c r="C866">
        <f t="shared" si="65"/>
        <v>2019</v>
      </c>
      <c r="D866">
        <f t="shared" si="66"/>
        <v>7</v>
      </c>
      <c r="E866" t="s">
        <v>73</v>
      </c>
      <c r="F866" t="s">
        <v>223</v>
      </c>
      <c r="G866" s="14">
        <v>45945</v>
      </c>
      <c r="H866" t="s">
        <v>40</v>
      </c>
      <c r="I866" t="s">
        <v>158</v>
      </c>
      <c r="J866" t="s">
        <v>990</v>
      </c>
      <c r="K866">
        <f t="shared" si="67"/>
        <v>1</v>
      </c>
      <c r="L866">
        <f t="shared" si="68"/>
        <v>0</v>
      </c>
      <c r="M866">
        <f t="shared" si="69"/>
        <v>1</v>
      </c>
    </row>
    <row r="867" spans="1:13">
      <c r="A867">
        <v>342</v>
      </c>
      <c r="B867" s="13">
        <v>43666</v>
      </c>
      <c r="C867">
        <f t="shared" si="65"/>
        <v>2019</v>
      </c>
      <c r="D867">
        <f t="shared" si="66"/>
        <v>7</v>
      </c>
      <c r="E867" t="s">
        <v>76</v>
      </c>
      <c r="F867" t="s">
        <v>207</v>
      </c>
      <c r="G867" s="14">
        <v>77441</v>
      </c>
      <c r="H867" t="s">
        <v>40</v>
      </c>
      <c r="I867" t="s">
        <v>98</v>
      </c>
      <c r="J867" t="s">
        <v>991</v>
      </c>
      <c r="K867">
        <f t="shared" si="67"/>
        <v>1</v>
      </c>
      <c r="L867">
        <f t="shared" si="68"/>
        <v>0</v>
      </c>
      <c r="M867">
        <f t="shared" si="69"/>
        <v>1</v>
      </c>
    </row>
    <row r="868" spans="1:13">
      <c r="A868">
        <v>558</v>
      </c>
      <c r="B868" s="13">
        <v>43669</v>
      </c>
      <c r="C868">
        <f t="shared" si="65"/>
        <v>2019</v>
      </c>
      <c r="D868">
        <f t="shared" si="66"/>
        <v>7</v>
      </c>
      <c r="E868" t="s">
        <v>76</v>
      </c>
      <c r="F868" t="s">
        <v>77</v>
      </c>
      <c r="G868" s="14">
        <v>53323</v>
      </c>
      <c r="H868" t="s">
        <v>57</v>
      </c>
      <c r="I868" t="s">
        <v>106</v>
      </c>
      <c r="J868" t="s">
        <v>992</v>
      </c>
      <c r="K868">
        <f t="shared" si="67"/>
        <v>1</v>
      </c>
      <c r="L868">
        <f t="shared" si="68"/>
        <v>0</v>
      </c>
      <c r="M868">
        <f t="shared" si="69"/>
        <v>1</v>
      </c>
    </row>
    <row r="869" spans="1:13">
      <c r="A869">
        <v>916</v>
      </c>
      <c r="B869" s="13">
        <v>43669</v>
      </c>
      <c r="C869">
        <f t="shared" si="65"/>
        <v>2019</v>
      </c>
      <c r="D869">
        <f t="shared" si="66"/>
        <v>7</v>
      </c>
      <c r="E869" t="s">
        <v>76</v>
      </c>
      <c r="F869" t="s">
        <v>110</v>
      </c>
      <c r="G869" s="14">
        <v>77464</v>
      </c>
      <c r="H869" t="s">
        <v>53</v>
      </c>
      <c r="I869" t="s">
        <v>54</v>
      </c>
      <c r="J869" t="s">
        <v>993</v>
      </c>
      <c r="K869">
        <f t="shared" si="67"/>
        <v>1</v>
      </c>
      <c r="L869">
        <f t="shared" si="68"/>
        <v>0</v>
      </c>
      <c r="M869">
        <f t="shared" si="69"/>
        <v>1</v>
      </c>
    </row>
    <row r="870" spans="1:13">
      <c r="A870">
        <v>155</v>
      </c>
      <c r="B870" s="13">
        <v>43670</v>
      </c>
      <c r="C870">
        <f t="shared" si="65"/>
        <v>2019</v>
      </c>
      <c r="D870">
        <f t="shared" si="66"/>
        <v>7</v>
      </c>
      <c r="E870" t="s">
        <v>73</v>
      </c>
      <c r="F870" t="s">
        <v>102</v>
      </c>
      <c r="G870" s="14">
        <v>49360</v>
      </c>
      <c r="H870" t="s">
        <v>57</v>
      </c>
      <c r="I870" t="s">
        <v>65</v>
      </c>
      <c r="J870" t="s">
        <v>994</v>
      </c>
      <c r="K870">
        <f t="shared" si="67"/>
        <v>1</v>
      </c>
      <c r="L870">
        <f t="shared" si="68"/>
        <v>0</v>
      </c>
      <c r="M870">
        <f t="shared" si="69"/>
        <v>1</v>
      </c>
    </row>
    <row r="871" spans="1:13">
      <c r="A871">
        <v>633</v>
      </c>
      <c r="B871" s="13">
        <v>43670</v>
      </c>
      <c r="C871">
        <f t="shared" si="65"/>
        <v>2019</v>
      </c>
      <c r="D871">
        <f t="shared" si="66"/>
        <v>7</v>
      </c>
      <c r="E871" t="s">
        <v>43</v>
      </c>
      <c r="F871" t="s">
        <v>44</v>
      </c>
      <c r="G871" s="14">
        <v>66813</v>
      </c>
      <c r="H871" t="s">
        <v>40</v>
      </c>
      <c r="I871" t="s">
        <v>45</v>
      </c>
      <c r="J871" t="s">
        <v>995</v>
      </c>
      <c r="K871">
        <f t="shared" si="67"/>
        <v>1</v>
      </c>
      <c r="L871">
        <f t="shared" si="68"/>
        <v>0</v>
      </c>
      <c r="M871">
        <f t="shared" si="69"/>
        <v>1</v>
      </c>
    </row>
    <row r="872" spans="1:13">
      <c r="A872">
        <v>517</v>
      </c>
      <c r="B872" s="13">
        <v>43671</v>
      </c>
      <c r="C872">
        <f t="shared" si="65"/>
        <v>2019</v>
      </c>
      <c r="D872">
        <f t="shared" si="66"/>
        <v>7</v>
      </c>
      <c r="E872" t="s">
        <v>63</v>
      </c>
      <c r="F872" t="s">
        <v>124</v>
      </c>
      <c r="G872" s="14">
        <v>74823</v>
      </c>
      <c r="H872" t="s">
        <v>81</v>
      </c>
      <c r="I872" t="s">
        <v>190</v>
      </c>
      <c r="J872" t="s">
        <v>996</v>
      </c>
      <c r="K872">
        <f t="shared" si="67"/>
        <v>1</v>
      </c>
      <c r="L872">
        <f t="shared" si="68"/>
        <v>0</v>
      </c>
      <c r="M872">
        <f t="shared" si="69"/>
        <v>1</v>
      </c>
    </row>
    <row r="873" spans="1:13">
      <c r="A873">
        <v>678</v>
      </c>
      <c r="B873" s="13">
        <v>43673</v>
      </c>
      <c r="C873">
        <f t="shared" si="65"/>
        <v>2019</v>
      </c>
      <c r="D873">
        <f t="shared" si="66"/>
        <v>7</v>
      </c>
      <c r="E873" t="s">
        <v>63</v>
      </c>
      <c r="F873" t="s">
        <v>162</v>
      </c>
      <c r="G873" s="14">
        <v>40600</v>
      </c>
      <c r="H873" t="s">
        <v>40</v>
      </c>
      <c r="I873" t="s">
        <v>180</v>
      </c>
      <c r="J873" t="s">
        <v>810</v>
      </c>
      <c r="K873">
        <f t="shared" si="67"/>
        <v>1</v>
      </c>
      <c r="L873">
        <f t="shared" si="68"/>
        <v>0</v>
      </c>
      <c r="M873">
        <f t="shared" si="69"/>
        <v>1</v>
      </c>
    </row>
    <row r="874" spans="1:13">
      <c r="A874">
        <v>775</v>
      </c>
      <c r="B874" s="13">
        <v>43675</v>
      </c>
      <c r="C874">
        <f t="shared" si="65"/>
        <v>2019</v>
      </c>
      <c r="D874">
        <f t="shared" si="66"/>
        <v>7</v>
      </c>
      <c r="E874" t="s">
        <v>38</v>
      </c>
      <c r="F874" t="s">
        <v>236</v>
      </c>
      <c r="G874" s="14">
        <v>78131</v>
      </c>
      <c r="H874" t="s">
        <v>57</v>
      </c>
      <c r="I874" t="s">
        <v>106</v>
      </c>
      <c r="J874" t="s">
        <v>997</v>
      </c>
      <c r="K874">
        <f t="shared" si="67"/>
        <v>1</v>
      </c>
      <c r="L874">
        <f t="shared" si="68"/>
        <v>0</v>
      </c>
      <c r="M874">
        <f t="shared" si="69"/>
        <v>1</v>
      </c>
    </row>
    <row r="875" spans="1:13">
      <c r="A875">
        <v>431</v>
      </c>
      <c r="B875" s="13">
        <v>43677</v>
      </c>
      <c r="C875">
        <f t="shared" si="65"/>
        <v>2019</v>
      </c>
      <c r="D875">
        <f t="shared" si="66"/>
        <v>7</v>
      </c>
      <c r="E875" t="s">
        <v>63</v>
      </c>
      <c r="F875" t="s">
        <v>105</v>
      </c>
      <c r="G875" s="14">
        <v>58275</v>
      </c>
      <c r="H875" t="s">
        <v>40</v>
      </c>
      <c r="I875" t="s">
        <v>291</v>
      </c>
      <c r="J875" t="s">
        <v>998</v>
      </c>
      <c r="K875">
        <f t="shared" si="67"/>
        <v>1</v>
      </c>
      <c r="L875">
        <f t="shared" si="68"/>
        <v>0</v>
      </c>
      <c r="M875">
        <f t="shared" si="69"/>
        <v>1</v>
      </c>
    </row>
    <row r="876" spans="1:13">
      <c r="A876">
        <v>483</v>
      </c>
      <c r="B876" s="13">
        <v>43677</v>
      </c>
      <c r="C876">
        <f t="shared" si="65"/>
        <v>2019</v>
      </c>
      <c r="D876">
        <f t="shared" si="66"/>
        <v>7</v>
      </c>
      <c r="E876" t="s">
        <v>38</v>
      </c>
      <c r="F876" t="s">
        <v>227</v>
      </c>
      <c r="G876" s="14">
        <v>65940</v>
      </c>
      <c r="H876" t="s">
        <v>57</v>
      </c>
      <c r="I876" t="s">
        <v>231</v>
      </c>
      <c r="J876" t="s">
        <v>811</v>
      </c>
      <c r="K876">
        <f t="shared" si="67"/>
        <v>1</v>
      </c>
      <c r="L876">
        <f t="shared" si="68"/>
        <v>0</v>
      </c>
      <c r="M876">
        <f t="shared" si="69"/>
        <v>1</v>
      </c>
    </row>
    <row r="877" spans="1:13">
      <c r="A877">
        <v>670</v>
      </c>
      <c r="B877" s="13">
        <v>43677</v>
      </c>
      <c r="C877">
        <f t="shared" si="65"/>
        <v>2019</v>
      </c>
      <c r="D877">
        <f t="shared" si="66"/>
        <v>7</v>
      </c>
      <c r="E877" t="s">
        <v>38</v>
      </c>
      <c r="F877" t="s">
        <v>126</v>
      </c>
      <c r="G877" s="14">
        <v>73154</v>
      </c>
      <c r="H877" t="s">
        <v>81</v>
      </c>
      <c r="I877" t="s">
        <v>153</v>
      </c>
      <c r="J877" t="s">
        <v>999</v>
      </c>
      <c r="K877">
        <f t="shared" si="67"/>
        <v>1</v>
      </c>
      <c r="L877">
        <f t="shared" si="68"/>
        <v>0</v>
      </c>
      <c r="M877">
        <f t="shared" si="69"/>
        <v>1</v>
      </c>
    </row>
    <row r="878" spans="1:13">
      <c r="A878">
        <v>254</v>
      </c>
      <c r="B878" s="13">
        <v>43680</v>
      </c>
      <c r="C878">
        <f t="shared" si="65"/>
        <v>2019</v>
      </c>
      <c r="D878">
        <f t="shared" si="66"/>
        <v>8</v>
      </c>
      <c r="E878" t="s">
        <v>47</v>
      </c>
      <c r="F878" t="s">
        <v>136</v>
      </c>
      <c r="G878" s="14">
        <v>76383</v>
      </c>
      <c r="H878" t="s">
        <v>57</v>
      </c>
      <c r="I878" t="s">
        <v>231</v>
      </c>
      <c r="J878" t="s">
        <v>1000</v>
      </c>
      <c r="K878">
        <f t="shared" si="67"/>
        <v>1</v>
      </c>
      <c r="L878">
        <f t="shared" si="68"/>
        <v>0</v>
      </c>
      <c r="M878">
        <f t="shared" si="69"/>
        <v>1</v>
      </c>
    </row>
    <row r="879" spans="1:13">
      <c r="A879">
        <v>268</v>
      </c>
      <c r="B879" s="13">
        <v>43680</v>
      </c>
      <c r="C879">
        <f t="shared" si="65"/>
        <v>2019</v>
      </c>
      <c r="D879">
        <f t="shared" si="66"/>
        <v>8</v>
      </c>
      <c r="E879" t="s">
        <v>76</v>
      </c>
      <c r="F879" t="s">
        <v>138</v>
      </c>
      <c r="G879" s="14">
        <v>67826</v>
      </c>
      <c r="H879" t="s">
        <v>53</v>
      </c>
      <c r="I879" t="s">
        <v>78</v>
      </c>
      <c r="J879" t="s">
        <v>1001</v>
      </c>
      <c r="K879">
        <f t="shared" si="67"/>
        <v>1</v>
      </c>
      <c r="L879">
        <f t="shared" si="68"/>
        <v>0</v>
      </c>
      <c r="M879">
        <f t="shared" si="69"/>
        <v>1</v>
      </c>
    </row>
    <row r="880" spans="1:13">
      <c r="A880">
        <v>120</v>
      </c>
      <c r="B880" s="13">
        <v>43682</v>
      </c>
      <c r="C880">
        <f t="shared" si="65"/>
        <v>2019</v>
      </c>
      <c r="D880">
        <f t="shared" si="66"/>
        <v>8</v>
      </c>
      <c r="E880" t="s">
        <v>63</v>
      </c>
      <c r="F880" t="s">
        <v>248</v>
      </c>
      <c r="G880" s="14">
        <v>58245</v>
      </c>
      <c r="H880" t="s">
        <v>60</v>
      </c>
      <c r="I880" t="s">
        <v>61</v>
      </c>
      <c r="J880" t="s">
        <v>821</v>
      </c>
      <c r="K880">
        <f t="shared" si="67"/>
        <v>1</v>
      </c>
      <c r="L880">
        <f t="shared" si="68"/>
        <v>0</v>
      </c>
      <c r="M880">
        <f t="shared" si="69"/>
        <v>1</v>
      </c>
    </row>
    <row r="881" spans="1:13">
      <c r="A881">
        <v>628</v>
      </c>
      <c r="B881" s="13">
        <v>43685</v>
      </c>
      <c r="C881">
        <f t="shared" si="65"/>
        <v>2019</v>
      </c>
      <c r="D881">
        <f t="shared" si="66"/>
        <v>8</v>
      </c>
      <c r="E881" t="s">
        <v>76</v>
      </c>
      <c r="F881" t="s">
        <v>77</v>
      </c>
      <c r="G881" s="14">
        <v>55948</v>
      </c>
      <c r="H881" t="s">
        <v>49</v>
      </c>
      <c r="I881" t="s">
        <v>50</v>
      </c>
      <c r="J881" t="s">
        <v>1002</v>
      </c>
      <c r="K881">
        <f t="shared" si="67"/>
        <v>1</v>
      </c>
      <c r="L881">
        <f t="shared" si="68"/>
        <v>0</v>
      </c>
      <c r="M881">
        <f t="shared" si="69"/>
        <v>1</v>
      </c>
    </row>
    <row r="882" spans="1:13">
      <c r="A882">
        <v>139</v>
      </c>
      <c r="B882" s="13">
        <v>43686</v>
      </c>
      <c r="C882">
        <f t="shared" si="65"/>
        <v>2019</v>
      </c>
      <c r="D882">
        <f t="shared" si="66"/>
        <v>8</v>
      </c>
      <c r="E882" t="s">
        <v>76</v>
      </c>
      <c r="F882" t="s">
        <v>138</v>
      </c>
      <c r="G882" s="14">
        <v>68707</v>
      </c>
      <c r="H882" t="s">
        <v>53</v>
      </c>
      <c r="I882" t="s">
        <v>78</v>
      </c>
      <c r="J882" t="s">
        <v>1003</v>
      </c>
      <c r="K882">
        <f t="shared" si="67"/>
        <v>1</v>
      </c>
      <c r="L882">
        <f t="shared" si="68"/>
        <v>0</v>
      </c>
      <c r="M882">
        <f t="shared" si="69"/>
        <v>1</v>
      </c>
    </row>
    <row r="883" spans="1:13">
      <c r="A883">
        <v>525</v>
      </c>
      <c r="B883" s="13">
        <v>43692</v>
      </c>
      <c r="C883">
        <f t="shared" si="65"/>
        <v>2019</v>
      </c>
      <c r="D883">
        <f t="shared" si="66"/>
        <v>8</v>
      </c>
      <c r="E883" t="s">
        <v>76</v>
      </c>
      <c r="F883" t="s">
        <v>129</v>
      </c>
      <c r="G883" s="14">
        <v>59062</v>
      </c>
      <c r="H883" t="s">
        <v>40</v>
      </c>
      <c r="I883" t="s">
        <v>45</v>
      </c>
      <c r="J883" t="s">
        <v>1004</v>
      </c>
      <c r="K883">
        <f t="shared" si="67"/>
        <v>1</v>
      </c>
      <c r="L883">
        <f t="shared" si="68"/>
        <v>0</v>
      </c>
      <c r="M883">
        <f t="shared" si="69"/>
        <v>1</v>
      </c>
    </row>
    <row r="884" spans="1:13">
      <c r="A884">
        <v>822</v>
      </c>
      <c r="B884" s="13">
        <v>43693</v>
      </c>
      <c r="C884">
        <f t="shared" si="65"/>
        <v>2019</v>
      </c>
      <c r="D884">
        <f t="shared" si="66"/>
        <v>8</v>
      </c>
      <c r="E884" t="s">
        <v>73</v>
      </c>
      <c r="F884" t="s">
        <v>74</v>
      </c>
      <c r="G884" s="14">
        <v>64199</v>
      </c>
      <c r="H884" t="s">
        <v>60</v>
      </c>
      <c r="I884" t="s">
        <v>188</v>
      </c>
      <c r="J884" t="s">
        <v>1005</v>
      </c>
      <c r="K884">
        <f t="shared" si="67"/>
        <v>1</v>
      </c>
      <c r="L884">
        <f t="shared" si="68"/>
        <v>0</v>
      </c>
      <c r="M884">
        <f t="shared" si="69"/>
        <v>1</v>
      </c>
    </row>
    <row r="885" spans="1:13">
      <c r="A885">
        <v>529</v>
      </c>
      <c r="B885" s="13">
        <v>43694</v>
      </c>
      <c r="C885">
        <f t="shared" si="65"/>
        <v>2019</v>
      </c>
      <c r="D885">
        <f t="shared" si="66"/>
        <v>8</v>
      </c>
      <c r="E885" t="s">
        <v>73</v>
      </c>
      <c r="F885" t="s">
        <v>223</v>
      </c>
      <c r="G885" s="14">
        <v>55192</v>
      </c>
      <c r="H885" t="s">
        <v>40</v>
      </c>
      <c r="I885" t="s">
        <v>45</v>
      </c>
      <c r="J885" t="s">
        <v>1006</v>
      </c>
      <c r="K885">
        <f t="shared" si="67"/>
        <v>1</v>
      </c>
      <c r="L885">
        <f t="shared" si="68"/>
        <v>0</v>
      </c>
      <c r="M885">
        <f t="shared" si="69"/>
        <v>1</v>
      </c>
    </row>
    <row r="886" spans="1:13">
      <c r="A886">
        <v>615</v>
      </c>
      <c r="B886" s="13">
        <v>43695</v>
      </c>
      <c r="C886">
        <f t="shared" si="65"/>
        <v>2019</v>
      </c>
      <c r="D886">
        <f t="shared" si="66"/>
        <v>8</v>
      </c>
      <c r="E886" t="s">
        <v>43</v>
      </c>
      <c r="F886" t="s">
        <v>87</v>
      </c>
      <c r="G886" s="14">
        <v>50202</v>
      </c>
      <c r="H886" t="s">
        <v>53</v>
      </c>
      <c r="I886" t="s">
        <v>78</v>
      </c>
      <c r="J886" t="s">
        <v>1007</v>
      </c>
      <c r="K886">
        <f t="shared" si="67"/>
        <v>1</v>
      </c>
      <c r="L886">
        <f t="shared" si="68"/>
        <v>0</v>
      </c>
      <c r="M886">
        <f t="shared" si="69"/>
        <v>1</v>
      </c>
    </row>
    <row r="887" spans="1:13">
      <c r="A887">
        <v>738</v>
      </c>
      <c r="B887" s="13">
        <v>43695</v>
      </c>
      <c r="C887">
        <f t="shared" si="65"/>
        <v>2019</v>
      </c>
      <c r="D887">
        <f t="shared" si="66"/>
        <v>8</v>
      </c>
      <c r="E887" t="s">
        <v>73</v>
      </c>
      <c r="F887" t="s">
        <v>119</v>
      </c>
      <c r="G887" s="14">
        <v>51839</v>
      </c>
      <c r="H887" t="s">
        <v>40</v>
      </c>
      <c r="I887" t="s">
        <v>158</v>
      </c>
      <c r="J887" t="s">
        <v>1008</v>
      </c>
      <c r="K887">
        <f t="shared" si="67"/>
        <v>1</v>
      </c>
      <c r="L887">
        <f t="shared" si="68"/>
        <v>0</v>
      </c>
      <c r="M887">
        <f t="shared" si="69"/>
        <v>1</v>
      </c>
    </row>
    <row r="888" spans="1:13">
      <c r="A888">
        <v>323</v>
      </c>
      <c r="B888" s="13">
        <v>43696</v>
      </c>
      <c r="C888">
        <f t="shared" si="65"/>
        <v>2019</v>
      </c>
      <c r="D888">
        <f t="shared" si="66"/>
        <v>8</v>
      </c>
      <c r="E888" t="s">
        <v>43</v>
      </c>
      <c r="F888" t="s">
        <v>44</v>
      </c>
      <c r="G888" s="14">
        <v>62037</v>
      </c>
      <c r="H888" t="s">
        <v>40</v>
      </c>
      <c r="I888" t="s">
        <v>88</v>
      </c>
      <c r="J888" t="s">
        <v>1009</v>
      </c>
      <c r="K888">
        <f t="shared" si="67"/>
        <v>1</v>
      </c>
      <c r="L888">
        <f t="shared" si="68"/>
        <v>0</v>
      </c>
      <c r="M888">
        <f t="shared" si="69"/>
        <v>1</v>
      </c>
    </row>
    <row r="889" spans="1:13">
      <c r="A889">
        <v>830</v>
      </c>
      <c r="B889" s="13">
        <v>43698</v>
      </c>
      <c r="C889">
        <f t="shared" si="65"/>
        <v>2019</v>
      </c>
      <c r="D889">
        <f t="shared" si="66"/>
        <v>8</v>
      </c>
      <c r="E889" t="s">
        <v>94</v>
      </c>
      <c r="F889" t="s">
        <v>328</v>
      </c>
      <c r="G889" s="14">
        <v>69982</v>
      </c>
      <c r="H889" t="s">
        <v>49</v>
      </c>
      <c r="I889" t="s">
        <v>151</v>
      </c>
      <c r="J889" t="s">
        <v>1010</v>
      </c>
      <c r="K889">
        <f t="shared" si="67"/>
        <v>1</v>
      </c>
      <c r="L889">
        <f t="shared" si="68"/>
        <v>0</v>
      </c>
      <c r="M889">
        <f t="shared" si="69"/>
        <v>1</v>
      </c>
    </row>
    <row r="890" spans="1:13">
      <c r="A890">
        <v>764</v>
      </c>
      <c r="B890" s="13">
        <v>43699</v>
      </c>
      <c r="C890">
        <f t="shared" si="65"/>
        <v>2019</v>
      </c>
      <c r="D890">
        <f t="shared" si="66"/>
        <v>8</v>
      </c>
      <c r="E890" t="s">
        <v>38</v>
      </c>
      <c r="F890" t="s">
        <v>236</v>
      </c>
      <c r="G890" s="14">
        <v>62011</v>
      </c>
      <c r="H890" t="s">
        <v>81</v>
      </c>
      <c r="I890" t="s">
        <v>190</v>
      </c>
      <c r="J890" t="s">
        <v>894</v>
      </c>
      <c r="K890">
        <f t="shared" si="67"/>
        <v>1</v>
      </c>
      <c r="L890">
        <f t="shared" si="68"/>
        <v>0</v>
      </c>
      <c r="M890">
        <f t="shared" si="69"/>
        <v>1</v>
      </c>
    </row>
    <row r="891" spans="1:13">
      <c r="A891">
        <v>824</v>
      </c>
      <c r="B891" s="13">
        <v>43702</v>
      </c>
      <c r="C891">
        <f t="shared" si="65"/>
        <v>2019</v>
      </c>
      <c r="D891">
        <f t="shared" si="66"/>
        <v>8</v>
      </c>
      <c r="E891" t="s">
        <v>63</v>
      </c>
      <c r="F891" t="s">
        <v>105</v>
      </c>
      <c r="G891" s="14">
        <v>46979</v>
      </c>
      <c r="H891" t="s">
        <v>57</v>
      </c>
      <c r="I891" t="s">
        <v>106</v>
      </c>
      <c r="J891" t="s">
        <v>843</v>
      </c>
      <c r="K891">
        <f t="shared" si="67"/>
        <v>1</v>
      </c>
      <c r="L891">
        <f t="shared" si="68"/>
        <v>0</v>
      </c>
      <c r="M891">
        <f t="shared" si="69"/>
        <v>1</v>
      </c>
    </row>
    <row r="892" spans="1:13">
      <c r="A892">
        <v>106</v>
      </c>
      <c r="B892" s="13">
        <v>43703</v>
      </c>
      <c r="C892">
        <f t="shared" si="65"/>
        <v>2019</v>
      </c>
      <c r="D892">
        <f t="shared" si="66"/>
        <v>8</v>
      </c>
      <c r="E892" t="s">
        <v>38</v>
      </c>
      <c r="F892" t="s">
        <v>80</v>
      </c>
      <c r="G892" s="14">
        <v>53182</v>
      </c>
      <c r="H892" t="s">
        <v>49</v>
      </c>
      <c r="I892" t="s">
        <v>122</v>
      </c>
      <c r="J892" t="s">
        <v>905</v>
      </c>
      <c r="K892">
        <f t="shared" si="67"/>
        <v>1</v>
      </c>
      <c r="L892">
        <f t="shared" si="68"/>
        <v>0</v>
      </c>
      <c r="M892">
        <f t="shared" si="69"/>
        <v>1</v>
      </c>
    </row>
    <row r="893" spans="1:13">
      <c r="A893">
        <v>321</v>
      </c>
      <c r="B893" s="13">
        <v>43705</v>
      </c>
      <c r="C893">
        <f t="shared" si="65"/>
        <v>2019</v>
      </c>
      <c r="D893">
        <f t="shared" si="66"/>
        <v>8</v>
      </c>
      <c r="E893" t="s">
        <v>43</v>
      </c>
      <c r="F893" t="s">
        <v>70</v>
      </c>
      <c r="G893" s="14">
        <v>63383</v>
      </c>
      <c r="H893" t="s">
        <v>40</v>
      </c>
      <c r="I893" t="s">
        <v>158</v>
      </c>
      <c r="J893" t="s">
        <v>1011</v>
      </c>
      <c r="K893">
        <f t="shared" si="67"/>
        <v>1</v>
      </c>
      <c r="L893">
        <f t="shared" si="68"/>
        <v>0</v>
      </c>
      <c r="M893">
        <f t="shared" si="69"/>
        <v>1</v>
      </c>
    </row>
    <row r="894" spans="1:13">
      <c r="A894">
        <v>934</v>
      </c>
      <c r="B894" s="13">
        <v>43705</v>
      </c>
      <c r="C894">
        <f t="shared" si="65"/>
        <v>2019</v>
      </c>
      <c r="D894">
        <f t="shared" si="66"/>
        <v>8</v>
      </c>
      <c r="E894" t="s">
        <v>47</v>
      </c>
      <c r="F894" t="s">
        <v>136</v>
      </c>
      <c r="G894" s="14">
        <v>66066</v>
      </c>
      <c r="H894" t="s">
        <v>49</v>
      </c>
      <c r="I894" t="s">
        <v>103</v>
      </c>
      <c r="J894" t="s">
        <v>1012</v>
      </c>
      <c r="K894">
        <f t="shared" si="67"/>
        <v>1</v>
      </c>
      <c r="L894">
        <f t="shared" si="68"/>
        <v>0</v>
      </c>
      <c r="M894">
        <f t="shared" si="69"/>
        <v>1</v>
      </c>
    </row>
    <row r="895" spans="1:13">
      <c r="A895">
        <v>519</v>
      </c>
      <c r="B895" s="13">
        <v>43707</v>
      </c>
      <c r="C895">
        <f t="shared" si="65"/>
        <v>2019</v>
      </c>
      <c r="D895">
        <f t="shared" si="66"/>
        <v>8</v>
      </c>
      <c r="E895" t="s">
        <v>94</v>
      </c>
      <c r="F895" t="s">
        <v>186</v>
      </c>
      <c r="G895" s="14">
        <v>70626</v>
      </c>
      <c r="H895" t="s">
        <v>57</v>
      </c>
      <c r="I895" t="s">
        <v>160</v>
      </c>
      <c r="J895" t="s">
        <v>1013</v>
      </c>
      <c r="K895">
        <f t="shared" si="67"/>
        <v>1</v>
      </c>
      <c r="L895">
        <f t="shared" si="68"/>
        <v>0</v>
      </c>
      <c r="M895">
        <f t="shared" si="69"/>
        <v>1</v>
      </c>
    </row>
    <row r="896" spans="1:13">
      <c r="A896">
        <v>147</v>
      </c>
      <c r="B896" s="13">
        <v>43708</v>
      </c>
      <c r="C896">
        <f t="shared" si="65"/>
        <v>2019</v>
      </c>
      <c r="D896">
        <f t="shared" si="66"/>
        <v>8</v>
      </c>
      <c r="E896" t="s">
        <v>43</v>
      </c>
      <c r="F896" t="s">
        <v>197</v>
      </c>
      <c r="G896" s="14">
        <v>44146</v>
      </c>
      <c r="H896" t="s">
        <v>40</v>
      </c>
      <c r="I896" t="s">
        <v>88</v>
      </c>
      <c r="J896" t="s">
        <v>1014</v>
      </c>
      <c r="K896">
        <f t="shared" si="67"/>
        <v>1</v>
      </c>
      <c r="L896">
        <f t="shared" si="68"/>
        <v>0</v>
      </c>
      <c r="M896">
        <f t="shared" si="69"/>
        <v>1</v>
      </c>
    </row>
    <row r="897" spans="1:13">
      <c r="A897">
        <v>51</v>
      </c>
      <c r="B897" s="13">
        <v>43710</v>
      </c>
      <c r="C897">
        <f t="shared" si="65"/>
        <v>2019</v>
      </c>
      <c r="D897">
        <f t="shared" si="66"/>
        <v>9</v>
      </c>
      <c r="E897" t="s">
        <v>47</v>
      </c>
      <c r="F897" t="s">
        <v>182</v>
      </c>
      <c r="G897" s="14">
        <v>46337</v>
      </c>
      <c r="H897" t="s">
        <v>57</v>
      </c>
      <c r="I897" t="s">
        <v>58</v>
      </c>
      <c r="J897" t="s">
        <v>1015</v>
      </c>
      <c r="K897">
        <f t="shared" si="67"/>
        <v>1</v>
      </c>
      <c r="L897">
        <f t="shared" si="68"/>
        <v>0</v>
      </c>
      <c r="M897">
        <f t="shared" si="69"/>
        <v>1</v>
      </c>
    </row>
    <row r="898" spans="1:13">
      <c r="A898">
        <v>10</v>
      </c>
      <c r="B898" s="13">
        <v>43720</v>
      </c>
      <c r="C898">
        <f t="shared" ref="C898:C961" si="70">YEAR(B898)</f>
        <v>2019</v>
      </c>
      <c r="D898">
        <f t="shared" ref="D898:D961" si="71">MONTH(B898)</f>
        <v>9</v>
      </c>
      <c r="E898" t="s">
        <v>76</v>
      </c>
      <c r="F898" t="s">
        <v>138</v>
      </c>
      <c r="G898" s="14">
        <v>52128</v>
      </c>
      <c r="H898" t="s">
        <v>81</v>
      </c>
      <c r="I898" t="s">
        <v>153</v>
      </c>
      <c r="J898" t="s">
        <v>1016</v>
      </c>
      <c r="K898">
        <f t="shared" ref="K898:K961" si="72">IF(AND(OR(sel_ano="Todos",C898=sel_ano),OR(sel_pais="Todos",H898=sel_pais),OR(sel_marca="Todas",E898=sel_marca)),1,0)</f>
        <v>1</v>
      </c>
      <c r="L898">
        <f t="shared" ref="L898:L961" si="73">IF(sel_ano="Todos",0,IF(AND(C898=sel_ano-1,OR(sel_pais="Todos",H898=sel_pais),OR(sel_marca="Todas",E898=sel_marca)),1,0))</f>
        <v>0</v>
      </c>
      <c r="M898">
        <f t="shared" ref="M898:M961" si="74">IF(AND(OR(sel_pais="Todos",H898=sel_pais),OR(sel_marca="Todas",E898=sel_marca)),1,0)</f>
        <v>1</v>
      </c>
    </row>
    <row r="899" spans="1:13">
      <c r="A899">
        <v>386</v>
      </c>
      <c r="B899" s="13">
        <v>43720</v>
      </c>
      <c r="C899">
        <f t="shared" si="70"/>
        <v>2019</v>
      </c>
      <c r="D899">
        <f t="shared" si="71"/>
        <v>9</v>
      </c>
      <c r="E899" t="s">
        <v>38</v>
      </c>
      <c r="F899" t="s">
        <v>56</v>
      </c>
      <c r="G899" s="14">
        <v>66256</v>
      </c>
      <c r="H899" t="s">
        <v>49</v>
      </c>
      <c r="I899" t="s">
        <v>122</v>
      </c>
      <c r="J899" t="s">
        <v>900</v>
      </c>
      <c r="K899">
        <f t="shared" si="72"/>
        <v>1</v>
      </c>
      <c r="L899">
        <f t="shared" si="73"/>
        <v>0</v>
      </c>
      <c r="M899">
        <f t="shared" si="74"/>
        <v>1</v>
      </c>
    </row>
    <row r="900" spans="1:13">
      <c r="A900">
        <v>903</v>
      </c>
      <c r="B900" s="13">
        <v>43724</v>
      </c>
      <c r="C900">
        <f t="shared" si="70"/>
        <v>2019</v>
      </c>
      <c r="D900">
        <f t="shared" si="71"/>
        <v>9</v>
      </c>
      <c r="E900" t="s">
        <v>47</v>
      </c>
      <c r="F900" t="s">
        <v>155</v>
      </c>
      <c r="G900" s="14">
        <v>50707</v>
      </c>
      <c r="H900" t="s">
        <v>49</v>
      </c>
      <c r="I900" t="s">
        <v>151</v>
      </c>
      <c r="J900" t="s">
        <v>1017</v>
      </c>
      <c r="K900">
        <f t="shared" si="72"/>
        <v>1</v>
      </c>
      <c r="L900">
        <f t="shared" si="73"/>
        <v>0</v>
      </c>
      <c r="M900">
        <f t="shared" si="74"/>
        <v>1</v>
      </c>
    </row>
    <row r="901" spans="1:13">
      <c r="A901">
        <v>509</v>
      </c>
      <c r="B901" s="13">
        <v>43726</v>
      </c>
      <c r="C901">
        <f t="shared" si="70"/>
        <v>2019</v>
      </c>
      <c r="D901">
        <f t="shared" si="71"/>
        <v>9</v>
      </c>
      <c r="E901" t="s">
        <v>76</v>
      </c>
      <c r="F901" t="s">
        <v>77</v>
      </c>
      <c r="G901" s="14">
        <v>72055</v>
      </c>
      <c r="H901" t="s">
        <v>81</v>
      </c>
      <c r="I901" t="s">
        <v>82</v>
      </c>
      <c r="J901" t="s">
        <v>1018</v>
      </c>
      <c r="K901">
        <f t="shared" si="72"/>
        <v>1</v>
      </c>
      <c r="L901">
        <f t="shared" si="73"/>
        <v>0</v>
      </c>
      <c r="M901">
        <f t="shared" si="74"/>
        <v>1</v>
      </c>
    </row>
    <row r="902" spans="1:13">
      <c r="A902">
        <v>60</v>
      </c>
      <c r="B902" s="13">
        <v>43727</v>
      </c>
      <c r="C902">
        <f t="shared" si="70"/>
        <v>2019</v>
      </c>
      <c r="D902">
        <f t="shared" si="71"/>
        <v>9</v>
      </c>
      <c r="E902" t="s">
        <v>47</v>
      </c>
      <c r="F902" t="s">
        <v>155</v>
      </c>
      <c r="G902" s="14">
        <v>77181</v>
      </c>
      <c r="H902" t="s">
        <v>53</v>
      </c>
      <c r="I902" t="s">
        <v>78</v>
      </c>
      <c r="J902" t="s">
        <v>1019</v>
      </c>
      <c r="K902">
        <f t="shared" si="72"/>
        <v>1</v>
      </c>
      <c r="L902">
        <f t="shared" si="73"/>
        <v>0</v>
      </c>
      <c r="M902">
        <f t="shared" si="74"/>
        <v>1</v>
      </c>
    </row>
    <row r="903" spans="1:13">
      <c r="A903">
        <v>336</v>
      </c>
      <c r="B903" s="13">
        <v>43729</v>
      </c>
      <c r="C903">
        <f t="shared" si="70"/>
        <v>2019</v>
      </c>
      <c r="D903">
        <f t="shared" si="71"/>
        <v>9</v>
      </c>
      <c r="E903" t="s">
        <v>47</v>
      </c>
      <c r="F903" t="s">
        <v>182</v>
      </c>
      <c r="G903" s="14">
        <v>72155</v>
      </c>
      <c r="H903" t="s">
        <v>53</v>
      </c>
      <c r="I903" t="s">
        <v>120</v>
      </c>
      <c r="J903" t="s">
        <v>1020</v>
      </c>
      <c r="K903">
        <f t="shared" si="72"/>
        <v>1</v>
      </c>
      <c r="L903">
        <f t="shared" si="73"/>
        <v>0</v>
      </c>
      <c r="M903">
        <f t="shared" si="74"/>
        <v>1</v>
      </c>
    </row>
    <row r="904" spans="1:13">
      <c r="A904">
        <v>39</v>
      </c>
      <c r="B904" s="13">
        <v>43731</v>
      </c>
      <c r="C904">
        <f t="shared" si="70"/>
        <v>2019</v>
      </c>
      <c r="D904">
        <f t="shared" si="71"/>
        <v>9</v>
      </c>
      <c r="E904" t="s">
        <v>73</v>
      </c>
      <c r="F904" t="s">
        <v>74</v>
      </c>
      <c r="G904" s="14">
        <v>67455</v>
      </c>
      <c r="H904" t="s">
        <v>60</v>
      </c>
      <c r="I904" t="s">
        <v>188</v>
      </c>
      <c r="J904" t="s">
        <v>1021</v>
      </c>
      <c r="K904">
        <f t="shared" si="72"/>
        <v>1</v>
      </c>
      <c r="L904">
        <f t="shared" si="73"/>
        <v>0</v>
      </c>
      <c r="M904">
        <f t="shared" si="74"/>
        <v>1</v>
      </c>
    </row>
    <row r="905" spans="1:13">
      <c r="A905">
        <v>302</v>
      </c>
      <c r="B905" s="13">
        <v>43738</v>
      </c>
      <c r="C905">
        <f t="shared" si="70"/>
        <v>2019</v>
      </c>
      <c r="D905">
        <f t="shared" si="71"/>
        <v>9</v>
      </c>
      <c r="E905" t="s">
        <v>38</v>
      </c>
      <c r="F905" t="s">
        <v>39</v>
      </c>
      <c r="G905" s="14">
        <v>77820</v>
      </c>
      <c r="H905" t="s">
        <v>81</v>
      </c>
      <c r="I905" t="s">
        <v>190</v>
      </c>
      <c r="J905" t="s">
        <v>1022</v>
      </c>
      <c r="K905">
        <f t="shared" si="72"/>
        <v>1</v>
      </c>
      <c r="L905">
        <f t="shared" si="73"/>
        <v>0</v>
      </c>
      <c r="M905">
        <f t="shared" si="74"/>
        <v>1</v>
      </c>
    </row>
    <row r="906" spans="1:13">
      <c r="A906">
        <v>952</v>
      </c>
      <c r="B906" s="13">
        <v>43738</v>
      </c>
      <c r="C906">
        <f t="shared" si="70"/>
        <v>2019</v>
      </c>
      <c r="D906">
        <f t="shared" si="71"/>
        <v>9</v>
      </c>
      <c r="E906" t="s">
        <v>94</v>
      </c>
      <c r="F906" t="s">
        <v>652</v>
      </c>
      <c r="G906" s="14">
        <v>47193</v>
      </c>
      <c r="H906" t="s">
        <v>53</v>
      </c>
      <c r="I906" t="s">
        <v>68</v>
      </c>
      <c r="J906" t="s">
        <v>1023</v>
      </c>
      <c r="K906">
        <f t="shared" si="72"/>
        <v>1</v>
      </c>
      <c r="L906">
        <f t="shared" si="73"/>
        <v>0</v>
      </c>
      <c r="M906">
        <f t="shared" si="74"/>
        <v>1</v>
      </c>
    </row>
    <row r="907" spans="1:13">
      <c r="A907">
        <v>618</v>
      </c>
      <c r="B907" s="13">
        <v>43743</v>
      </c>
      <c r="C907">
        <f t="shared" si="70"/>
        <v>2019</v>
      </c>
      <c r="D907">
        <f t="shared" si="71"/>
        <v>10</v>
      </c>
      <c r="E907" t="s">
        <v>76</v>
      </c>
      <c r="F907" t="s">
        <v>129</v>
      </c>
      <c r="G907" s="14">
        <v>44694</v>
      </c>
      <c r="H907" t="s">
        <v>60</v>
      </c>
      <c r="I907" t="s">
        <v>61</v>
      </c>
      <c r="J907" t="s">
        <v>1024</v>
      </c>
      <c r="K907">
        <f t="shared" si="72"/>
        <v>1</v>
      </c>
      <c r="L907">
        <f t="shared" si="73"/>
        <v>0</v>
      </c>
      <c r="M907">
        <f t="shared" si="74"/>
        <v>1</v>
      </c>
    </row>
    <row r="908" spans="1:13">
      <c r="A908">
        <v>563</v>
      </c>
      <c r="B908" s="13">
        <v>43746</v>
      </c>
      <c r="C908">
        <f t="shared" si="70"/>
        <v>2019</v>
      </c>
      <c r="D908">
        <f t="shared" si="71"/>
        <v>10</v>
      </c>
      <c r="E908" t="s">
        <v>63</v>
      </c>
      <c r="F908" t="s">
        <v>64</v>
      </c>
      <c r="G908" s="14">
        <v>62850</v>
      </c>
      <c r="H908" t="s">
        <v>40</v>
      </c>
      <c r="I908" t="s">
        <v>180</v>
      </c>
      <c r="J908" t="s">
        <v>1025</v>
      </c>
      <c r="K908">
        <f t="shared" si="72"/>
        <v>1</v>
      </c>
      <c r="L908">
        <f t="shared" si="73"/>
        <v>0</v>
      </c>
      <c r="M908">
        <f t="shared" si="74"/>
        <v>1</v>
      </c>
    </row>
    <row r="909" spans="1:13">
      <c r="A909">
        <v>371</v>
      </c>
      <c r="B909" s="13">
        <v>43747</v>
      </c>
      <c r="C909">
        <f t="shared" si="70"/>
        <v>2019</v>
      </c>
      <c r="D909">
        <f t="shared" si="71"/>
        <v>10</v>
      </c>
      <c r="E909" t="s">
        <v>47</v>
      </c>
      <c r="F909" t="s">
        <v>132</v>
      </c>
      <c r="G909" s="14">
        <v>63373</v>
      </c>
      <c r="H909" t="s">
        <v>53</v>
      </c>
      <c r="I909" t="s">
        <v>92</v>
      </c>
      <c r="J909" t="s">
        <v>1026</v>
      </c>
      <c r="K909">
        <f t="shared" si="72"/>
        <v>1</v>
      </c>
      <c r="L909">
        <f t="shared" si="73"/>
        <v>0</v>
      </c>
      <c r="M909">
        <f t="shared" si="74"/>
        <v>1</v>
      </c>
    </row>
    <row r="910" spans="1:13">
      <c r="A910">
        <v>547</v>
      </c>
      <c r="B910" s="13">
        <v>43752</v>
      </c>
      <c r="C910">
        <f t="shared" si="70"/>
        <v>2019</v>
      </c>
      <c r="D910">
        <f t="shared" si="71"/>
        <v>10</v>
      </c>
      <c r="E910" t="s">
        <v>38</v>
      </c>
      <c r="F910" t="s">
        <v>165</v>
      </c>
      <c r="G910" s="14">
        <v>57260</v>
      </c>
      <c r="H910" t="s">
        <v>60</v>
      </c>
      <c r="I910" t="s">
        <v>61</v>
      </c>
      <c r="J910" t="s">
        <v>801</v>
      </c>
      <c r="K910">
        <f t="shared" si="72"/>
        <v>1</v>
      </c>
      <c r="L910">
        <f t="shared" si="73"/>
        <v>0</v>
      </c>
      <c r="M910">
        <f t="shared" si="74"/>
        <v>1</v>
      </c>
    </row>
    <row r="911" spans="1:13">
      <c r="A911">
        <v>8</v>
      </c>
      <c r="B911" s="13">
        <v>43757</v>
      </c>
      <c r="C911">
        <f t="shared" si="70"/>
        <v>2019</v>
      </c>
      <c r="D911">
        <f t="shared" si="71"/>
        <v>10</v>
      </c>
      <c r="E911" t="s">
        <v>47</v>
      </c>
      <c r="F911" t="s">
        <v>116</v>
      </c>
      <c r="G911" s="14">
        <v>56856</v>
      </c>
      <c r="H911" t="s">
        <v>53</v>
      </c>
      <c r="I911" t="s">
        <v>54</v>
      </c>
      <c r="J911" t="s">
        <v>1027</v>
      </c>
      <c r="K911">
        <f t="shared" si="72"/>
        <v>1</v>
      </c>
      <c r="L911">
        <f t="shared" si="73"/>
        <v>0</v>
      </c>
      <c r="M911">
        <f t="shared" si="74"/>
        <v>1</v>
      </c>
    </row>
    <row r="912" spans="1:13">
      <c r="A912">
        <v>40</v>
      </c>
      <c r="B912" s="13">
        <v>43760</v>
      </c>
      <c r="C912">
        <f t="shared" si="70"/>
        <v>2019</v>
      </c>
      <c r="D912">
        <f t="shared" si="71"/>
        <v>10</v>
      </c>
      <c r="E912" t="s">
        <v>47</v>
      </c>
      <c r="F912" t="s">
        <v>132</v>
      </c>
      <c r="G912" s="14">
        <v>47877</v>
      </c>
      <c r="H912" t="s">
        <v>57</v>
      </c>
      <c r="I912" t="s">
        <v>231</v>
      </c>
      <c r="J912" t="s">
        <v>1028</v>
      </c>
      <c r="K912">
        <f t="shared" si="72"/>
        <v>1</v>
      </c>
      <c r="L912">
        <f t="shared" si="73"/>
        <v>0</v>
      </c>
      <c r="M912">
        <f t="shared" si="74"/>
        <v>1</v>
      </c>
    </row>
    <row r="913" spans="1:13">
      <c r="A913">
        <v>708</v>
      </c>
      <c r="B913" s="13">
        <v>43760</v>
      </c>
      <c r="C913">
        <f t="shared" si="70"/>
        <v>2019</v>
      </c>
      <c r="D913">
        <f t="shared" si="71"/>
        <v>10</v>
      </c>
      <c r="E913" t="s">
        <v>73</v>
      </c>
      <c r="F913" t="s">
        <v>223</v>
      </c>
      <c r="G913" s="14">
        <v>49512</v>
      </c>
      <c r="H913" t="s">
        <v>40</v>
      </c>
      <c r="I913" t="s">
        <v>144</v>
      </c>
      <c r="J913" t="s">
        <v>1029</v>
      </c>
      <c r="K913">
        <f t="shared" si="72"/>
        <v>1</v>
      </c>
      <c r="L913">
        <f t="shared" si="73"/>
        <v>0</v>
      </c>
      <c r="M913">
        <f t="shared" si="74"/>
        <v>1</v>
      </c>
    </row>
    <row r="914" spans="1:13">
      <c r="A914">
        <v>531</v>
      </c>
      <c r="B914" s="13">
        <v>43770</v>
      </c>
      <c r="C914">
        <f t="shared" si="70"/>
        <v>2019</v>
      </c>
      <c r="D914">
        <f t="shared" si="71"/>
        <v>11</v>
      </c>
      <c r="E914" t="s">
        <v>43</v>
      </c>
      <c r="F914" t="s">
        <v>251</v>
      </c>
      <c r="G914" s="14">
        <v>79878</v>
      </c>
      <c r="H914" t="s">
        <v>53</v>
      </c>
      <c r="I914" t="s">
        <v>92</v>
      </c>
      <c r="J914" t="s">
        <v>1030</v>
      </c>
      <c r="K914">
        <f t="shared" si="72"/>
        <v>1</v>
      </c>
      <c r="L914">
        <f t="shared" si="73"/>
        <v>0</v>
      </c>
      <c r="M914">
        <f t="shared" si="74"/>
        <v>1</v>
      </c>
    </row>
    <row r="915" spans="1:13">
      <c r="A915">
        <v>233</v>
      </c>
      <c r="B915" s="13">
        <v>43777</v>
      </c>
      <c r="C915">
        <f t="shared" si="70"/>
        <v>2019</v>
      </c>
      <c r="D915">
        <f t="shared" si="71"/>
        <v>11</v>
      </c>
      <c r="E915" t="s">
        <v>94</v>
      </c>
      <c r="F915" t="s">
        <v>662</v>
      </c>
      <c r="G915" s="14">
        <v>65962</v>
      </c>
      <c r="H915" t="s">
        <v>53</v>
      </c>
      <c r="I915" t="s">
        <v>78</v>
      </c>
      <c r="J915" t="s">
        <v>1031</v>
      </c>
      <c r="K915">
        <f t="shared" si="72"/>
        <v>1</v>
      </c>
      <c r="L915">
        <f t="shared" si="73"/>
        <v>0</v>
      </c>
      <c r="M915">
        <f t="shared" si="74"/>
        <v>1</v>
      </c>
    </row>
    <row r="916" spans="1:13">
      <c r="A916">
        <v>488</v>
      </c>
      <c r="B916" s="13">
        <v>43778</v>
      </c>
      <c r="C916">
        <f t="shared" si="70"/>
        <v>2019</v>
      </c>
      <c r="D916">
        <f t="shared" si="71"/>
        <v>11</v>
      </c>
      <c r="E916" t="s">
        <v>94</v>
      </c>
      <c r="F916" t="s">
        <v>489</v>
      </c>
      <c r="G916" s="14">
        <v>58331</v>
      </c>
      <c r="H916" t="s">
        <v>53</v>
      </c>
      <c r="I916" t="s">
        <v>78</v>
      </c>
      <c r="J916" t="s">
        <v>1032</v>
      </c>
      <c r="K916">
        <f t="shared" si="72"/>
        <v>1</v>
      </c>
      <c r="L916">
        <f t="shared" si="73"/>
        <v>0</v>
      </c>
      <c r="M916">
        <f t="shared" si="74"/>
        <v>1</v>
      </c>
    </row>
    <row r="917" spans="1:13">
      <c r="A917">
        <v>373</v>
      </c>
      <c r="B917" s="13">
        <v>43786</v>
      </c>
      <c r="C917">
        <f t="shared" si="70"/>
        <v>2019</v>
      </c>
      <c r="D917">
        <f t="shared" si="71"/>
        <v>11</v>
      </c>
      <c r="E917" t="s">
        <v>43</v>
      </c>
      <c r="F917" t="s">
        <v>67</v>
      </c>
      <c r="G917" s="14">
        <v>54364</v>
      </c>
      <c r="H917" t="s">
        <v>49</v>
      </c>
      <c r="I917" t="s">
        <v>50</v>
      </c>
      <c r="J917" t="s">
        <v>1033</v>
      </c>
      <c r="K917">
        <f t="shared" si="72"/>
        <v>1</v>
      </c>
      <c r="L917">
        <f t="shared" si="73"/>
        <v>0</v>
      </c>
      <c r="M917">
        <f t="shared" si="74"/>
        <v>1</v>
      </c>
    </row>
    <row r="918" spans="1:13">
      <c r="A918">
        <v>219</v>
      </c>
      <c r="B918" s="13">
        <v>43789</v>
      </c>
      <c r="C918">
        <f t="shared" si="70"/>
        <v>2019</v>
      </c>
      <c r="D918">
        <f t="shared" si="71"/>
        <v>11</v>
      </c>
      <c r="E918" t="s">
        <v>73</v>
      </c>
      <c r="F918" t="s">
        <v>140</v>
      </c>
      <c r="G918" s="14">
        <v>44814</v>
      </c>
      <c r="H918" t="s">
        <v>53</v>
      </c>
      <c r="I918" t="s">
        <v>54</v>
      </c>
      <c r="J918" t="s">
        <v>1034</v>
      </c>
      <c r="K918">
        <f t="shared" si="72"/>
        <v>1</v>
      </c>
      <c r="L918">
        <f t="shared" si="73"/>
        <v>0</v>
      </c>
      <c r="M918">
        <f t="shared" si="74"/>
        <v>1</v>
      </c>
    </row>
    <row r="919" spans="1:13">
      <c r="A919">
        <v>221</v>
      </c>
      <c r="B919" s="13">
        <v>43789</v>
      </c>
      <c r="C919">
        <f t="shared" si="70"/>
        <v>2019</v>
      </c>
      <c r="D919">
        <f t="shared" si="71"/>
        <v>11</v>
      </c>
      <c r="E919" t="s">
        <v>73</v>
      </c>
      <c r="F919" t="s">
        <v>74</v>
      </c>
      <c r="G919" s="14">
        <v>65757</v>
      </c>
      <c r="H919" t="s">
        <v>60</v>
      </c>
      <c r="I919" t="s">
        <v>114</v>
      </c>
      <c r="J919" t="s">
        <v>1035</v>
      </c>
      <c r="K919">
        <f t="shared" si="72"/>
        <v>1</v>
      </c>
      <c r="L919">
        <f t="shared" si="73"/>
        <v>0</v>
      </c>
      <c r="M919">
        <f t="shared" si="74"/>
        <v>1</v>
      </c>
    </row>
    <row r="920" spans="1:13">
      <c r="A920">
        <v>728</v>
      </c>
      <c r="B920" s="13">
        <v>43790</v>
      </c>
      <c r="C920">
        <f t="shared" si="70"/>
        <v>2019</v>
      </c>
      <c r="D920">
        <f t="shared" si="71"/>
        <v>11</v>
      </c>
      <c r="E920" t="s">
        <v>38</v>
      </c>
      <c r="F920" t="s">
        <v>39</v>
      </c>
      <c r="G920" s="14">
        <v>71623</v>
      </c>
      <c r="H920" t="s">
        <v>57</v>
      </c>
      <c r="I920" t="s">
        <v>65</v>
      </c>
      <c r="J920" t="s">
        <v>1036</v>
      </c>
      <c r="K920">
        <f t="shared" si="72"/>
        <v>1</v>
      </c>
      <c r="L920">
        <f t="shared" si="73"/>
        <v>0</v>
      </c>
      <c r="M920">
        <f t="shared" si="74"/>
        <v>1</v>
      </c>
    </row>
    <row r="921" spans="1:13">
      <c r="A921">
        <v>475</v>
      </c>
      <c r="B921" s="13">
        <v>43795</v>
      </c>
      <c r="C921">
        <f t="shared" si="70"/>
        <v>2019</v>
      </c>
      <c r="D921">
        <f t="shared" si="71"/>
        <v>11</v>
      </c>
      <c r="E921" t="s">
        <v>73</v>
      </c>
      <c r="F921" t="s">
        <v>140</v>
      </c>
      <c r="G921" s="14">
        <v>43161</v>
      </c>
      <c r="H921" t="s">
        <v>53</v>
      </c>
      <c r="I921" t="s">
        <v>78</v>
      </c>
      <c r="J921" t="s">
        <v>1037</v>
      </c>
      <c r="K921">
        <f t="shared" si="72"/>
        <v>1</v>
      </c>
      <c r="L921">
        <f t="shared" si="73"/>
        <v>0</v>
      </c>
      <c r="M921">
        <f t="shared" si="74"/>
        <v>1</v>
      </c>
    </row>
    <row r="922" spans="1:13">
      <c r="A922">
        <v>156</v>
      </c>
      <c r="B922" s="13">
        <v>43796</v>
      </c>
      <c r="C922">
        <f t="shared" si="70"/>
        <v>2019</v>
      </c>
      <c r="D922">
        <f t="shared" si="71"/>
        <v>11</v>
      </c>
      <c r="E922" t="s">
        <v>76</v>
      </c>
      <c r="F922" t="s">
        <v>110</v>
      </c>
      <c r="G922" s="14">
        <v>78854</v>
      </c>
      <c r="H922" t="s">
        <v>81</v>
      </c>
      <c r="I922" t="s">
        <v>153</v>
      </c>
      <c r="J922" t="s">
        <v>1038</v>
      </c>
      <c r="K922">
        <f t="shared" si="72"/>
        <v>1</v>
      </c>
      <c r="L922">
        <f t="shared" si="73"/>
        <v>0</v>
      </c>
      <c r="M922">
        <f t="shared" si="74"/>
        <v>1</v>
      </c>
    </row>
    <row r="923" spans="1:13">
      <c r="A923">
        <v>562</v>
      </c>
      <c r="B923" s="13">
        <v>43797</v>
      </c>
      <c r="C923">
        <f t="shared" si="70"/>
        <v>2019</v>
      </c>
      <c r="D923">
        <f t="shared" si="71"/>
        <v>11</v>
      </c>
      <c r="E923" t="s">
        <v>43</v>
      </c>
      <c r="F923" t="s">
        <v>380</v>
      </c>
      <c r="G923" s="14">
        <v>78864</v>
      </c>
      <c r="H923" t="s">
        <v>60</v>
      </c>
      <c r="I923" t="s">
        <v>61</v>
      </c>
      <c r="J923" t="s">
        <v>1039</v>
      </c>
      <c r="K923">
        <f t="shared" si="72"/>
        <v>1</v>
      </c>
      <c r="L923">
        <f t="shared" si="73"/>
        <v>0</v>
      </c>
      <c r="M923">
        <f t="shared" si="74"/>
        <v>1</v>
      </c>
    </row>
    <row r="924" spans="1:13">
      <c r="A924">
        <v>79</v>
      </c>
      <c r="B924" s="13">
        <v>43799</v>
      </c>
      <c r="C924">
        <f t="shared" si="70"/>
        <v>2019</v>
      </c>
      <c r="D924">
        <f t="shared" si="71"/>
        <v>11</v>
      </c>
      <c r="E924" t="s">
        <v>76</v>
      </c>
      <c r="F924" t="s">
        <v>207</v>
      </c>
      <c r="G924" s="14">
        <v>66175</v>
      </c>
      <c r="H924" t="s">
        <v>40</v>
      </c>
      <c r="I924" t="s">
        <v>158</v>
      </c>
      <c r="J924" t="s">
        <v>1040</v>
      </c>
      <c r="K924">
        <f t="shared" si="72"/>
        <v>1</v>
      </c>
      <c r="L924">
        <f t="shared" si="73"/>
        <v>0</v>
      </c>
      <c r="M924">
        <f t="shared" si="74"/>
        <v>1</v>
      </c>
    </row>
    <row r="925" spans="1:13">
      <c r="A925">
        <v>92</v>
      </c>
      <c r="B925" s="13">
        <v>43804</v>
      </c>
      <c r="C925">
        <f t="shared" si="70"/>
        <v>2019</v>
      </c>
      <c r="D925">
        <f t="shared" si="71"/>
        <v>12</v>
      </c>
      <c r="E925" t="s">
        <v>43</v>
      </c>
      <c r="F925" t="s">
        <v>197</v>
      </c>
      <c r="G925" s="14">
        <v>43850</v>
      </c>
      <c r="H925" t="s">
        <v>40</v>
      </c>
      <c r="I925" t="s">
        <v>98</v>
      </c>
      <c r="J925" t="s">
        <v>858</v>
      </c>
      <c r="K925">
        <f t="shared" si="72"/>
        <v>1</v>
      </c>
      <c r="L925">
        <f t="shared" si="73"/>
        <v>0</v>
      </c>
      <c r="M925">
        <f t="shared" si="74"/>
        <v>1</v>
      </c>
    </row>
    <row r="926" spans="1:13">
      <c r="A926">
        <v>730</v>
      </c>
      <c r="B926" s="13">
        <v>43805</v>
      </c>
      <c r="C926">
        <f t="shared" si="70"/>
        <v>2019</v>
      </c>
      <c r="D926">
        <f t="shared" si="71"/>
        <v>12</v>
      </c>
      <c r="E926" t="s">
        <v>43</v>
      </c>
      <c r="F926" t="s">
        <v>380</v>
      </c>
      <c r="G926" s="14">
        <v>71710</v>
      </c>
      <c r="H926" t="s">
        <v>40</v>
      </c>
      <c r="I926" t="s">
        <v>98</v>
      </c>
      <c r="J926" t="s">
        <v>860</v>
      </c>
      <c r="K926">
        <f t="shared" si="72"/>
        <v>1</v>
      </c>
      <c r="L926">
        <f t="shared" si="73"/>
        <v>0</v>
      </c>
      <c r="M926">
        <f t="shared" si="74"/>
        <v>1</v>
      </c>
    </row>
    <row r="927" spans="1:13">
      <c r="A927">
        <v>676</v>
      </c>
      <c r="B927" s="13">
        <v>43807</v>
      </c>
      <c r="C927">
        <f t="shared" si="70"/>
        <v>2019</v>
      </c>
      <c r="D927">
        <f t="shared" si="71"/>
        <v>12</v>
      </c>
      <c r="E927" t="s">
        <v>73</v>
      </c>
      <c r="F927" t="s">
        <v>119</v>
      </c>
      <c r="G927" s="14">
        <v>72645</v>
      </c>
      <c r="H927" t="s">
        <v>40</v>
      </c>
      <c r="I927" t="s">
        <v>45</v>
      </c>
      <c r="J927" t="s">
        <v>1041</v>
      </c>
      <c r="K927">
        <f t="shared" si="72"/>
        <v>1</v>
      </c>
      <c r="L927">
        <f t="shared" si="73"/>
        <v>0</v>
      </c>
      <c r="M927">
        <f t="shared" si="74"/>
        <v>1</v>
      </c>
    </row>
    <row r="928" spans="1:13">
      <c r="A928">
        <v>905</v>
      </c>
      <c r="B928" s="13">
        <v>43815</v>
      </c>
      <c r="C928">
        <f t="shared" si="70"/>
        <v>2019</v>
      </c>
      <c r="D928">
        <f t="shared" si="71"/>
        <v>12</v>
      </c>
      <c r="E928" t="s">
        <v>38</v>
      </c>
      <c r="F928" t="s">
        <v>112</v>
      </c>
      <c r="G928" s="14">
        <v>78079</v>
      </c>
      <c r="H928" t="s">
        <v>81</v>
      </c>
      <c r="I928" t="s">
        <v>190</v>
      </c>
      <c r="J928" t="s">
        <v>1042</v>
      </c>
      <c r="K928">
        <f t="shared" si="72"/>
        <v>1</v>
      </c>
      <c r="L928">
        <f t="shared" si="73"/>
        <v>0</v>
      </c>
      <c r="M928">
        <f t="shared" si="74"/>
        <v>1</v>
      </c>
    </row>
    <row r="929" spans="1:13">
      <c r="A929">
        <v>885</v>
      </c>
      <c r="B929" s="13">
        <v>43816</v>
      </c>
      <c r="C929">
        <f t="shared" si="70"/>
        <v>2019</v>
      </c>
      <c r="D929">
        <f t="shared" si="71"/>
        <v>12</v>
      </c>
      <c r="E929" t="s">
        <v>73</v>
      </c>
      <c r="F929" t="s">
        <v>74</v>
      </c>
      <c r="G929" s="14">
        <v>40485</v>
      </c>
      <c r="H929" t="s">
        <v>53</v>
      </c>
      <c r="I929" t="s">
        <v>54</v>
      </c>
      <c r="J929" t="s">
        <v>1043</v>
      </c>
      <c r="K929">
        <f t="shared" si="72"/>
        <v>1</v>
      </c>
      <c r="L929">
        <f t="shared" si="73"/>
        <v>0</v>
      </c>
      <c r="M929">
        <f t="shared" si="74"/>
        <v>1</v>
      </c>
    </row>
    <row r="930" spans="1:13">
      <c r="A930">
        <v>208</v>
      </c>
      <c r="B930" s="13">
        <v>43819</v>
      </c>
      <c r="C930">
        <f t="shared" si="70"/>
        <v>2019</v>
      </c>
      <c r="D930">
        <f t="shared" si="71"/>
        <v>12</v>
      </c>
      <c r="E930" t="s">
        <v>38</v>
      </c>
      <c r="F930" t="s">
        <v>80</v>
      </c>
      <c r="G930" s="14">
        <v>57206</v>
      </c>
      <c r="H930" t="s">
        <v>81</v>
      </c>
      <c r="I930" t="s">
        <v>153</v>
      </c>
      <c r="J930" t="s">
        <v>1044</v>
      </c>
      <c r="K930">
        <f t="shared" si="72"/>
        <v>1</v>
      </c>
      <c r="L930">
        <f t="shared" si="73"/>
        <v>0</v>
      </c>
      <c r="M930">
        <f t="shared" si="74"/>
        <v>1</v>
      </c>
    </row>
    <row r="931" spans="1:13">
      <c r="A931">
        <v>124</v>
      </c>
      <c r="B931" s="13">
        <v>43821</v>
      </c>
      <c r="C931">
        <f t="shared" si="70"/>
        <v>2019</v>
      </c>
      <c r="D931">
        <f t="shared" si="71"/>
        <v>12</v>
      </c>
      <c r="E931" t="s">
        <v>76</v>
      </c>
      <c r="F931" t="s">
        <v>138</v>
      </c>
      <c r="G931" s="14">
        <v>46413</v>
      </c>
      <c r="H931" t="s">
        <v>49</v>
      </c>
      <c r="I931" t="s">
        <v>50</v>
      </c>
      <c r="J931" t="s">
        <v>1045</v>
      </c>
      <c r="K931">
        <f t="shared" si="72"/>
        <v>1</v>
      </c>
      <c r="L931">
        <f t="shared" si="73"/>
        <v>0</v>
      </c>
      <c r="M931">
        <f t="shared" si="74"/>
        <v>1</v>
      </c>
    </row>
    <row r="932" spans="1:13">
      <c r="A932">
        <v>417</v>
      </c>
      <c r="B932" s="13">
        <v>43821</v>
      </c>
      <c r="C932">
        <f t="shared" si="70"/>
        <v>2019</v>
      </c>
      <c r="D932">
        <f t="shared" si="71"/>
        <v>12</v>
      </c>
      <c r="E932" t="s">
        <v>38</v>
      </c>
      <c r="F932" t="s">
        <v>39</v>
      </c>
      <c r="G932" s="14">
        <v>45074</v>
      </c>
      <c r="H932" t="s">
        <v>81</v>
      </c>
      <c r="I932" t="s">
        <v>82</v>
      </c>
      <c r="J932" t="s">
        <v>1046</v>
      </c>
      <c r="K932">
        <f t="shared" si="72"/>
        <v>1</v>
      </c>
      <c r="L932">
        <f t="shared" si="73"/>
        <v>0</v>
      </c>
      <c r="M932">
        <f t="shared" si="74"/>
        <v>1</v>
      </c>
    </row>
    <row r="933" spans="1:13">
      <c r="A933">
        <v>361</v>
      </c>
      <c r="B933" s="13">
        <v>43827</v>
      </c>
      <c r="C933">
        <f t="shared" si="70"/>
        <v>2019</v>
      </c>
      <c r="D933">
        <f t="shared" si="71"/>
        <v>12</v>
      </c>
      <c r="E933" t="s">
        <v>76</v>
      </c>
      <c r="F933" t="s">
        <v>207</v>
      </c>
      <c r="G933" s="14">
        <v>42999</v>
      </c>
      <c r="H933" t="s">
        <v>40</v>
      </c>
      <c r="I933" t="s">
        <v>45</v>
      </c>
      <c r="J933" t="s">
        <v>1047</v>
      </c>
      <c r="K933">
        <f t="shared" si="72"/>
        <v>1</v>
      </c>
      <c r="L933">
        <f t="shared" si="73"/>
        <v>0</v>
      </c>
      <c r="M933">
        <f t="shared" si="74"/>
        <v>1</v>
      </c>
    </row>
    <row r="934" spans="1:13">
      <c r="A934">
        <v>506</v>
      </c>
      <c r="B934" s="13">
        <v>43831</v>
      </c>
      <c r="C934">
        <f t="shared" si="70"/>
        <v>2020</v>
      </c>
      <c r="D934">
        <f t="shared" si="71"/>
        <v>1</v>
      </c>
      <c r="E934" t="s">
        <v>38</v>
      </c>
      <c r="F934" t="s">
        <v>165</v>
      </c>
      <c r="G934" s="14">
        <v>49103</v>
      </c>
      <c r="H934" t="s">
        <v>53</v>
      </c>
      <c r="I934" t="s">
        <v>54</v>
      </c>
      <c r="J934" t="s">
        <v>1048</v>
      </c>
      <c r="K934">
        <f t="shared" si="72"/>
        <v>1</v>
      </c>
      <c r="L934">
        <f t="shared" si="73"/>
        <v>0</v>
      </c>
      <c r="M934">
        <f t="shared" si="74"/>
        <v>1</v>
      </c>
    </row>
    <row r="935" spans="1:13">
      <c r="A935">
        <v>215</v>
      </c>
      <c r="B935" s="13">
        <v>43832</v>
      </c>
      <c r="C935">
        <f t="shared" si="70"/>
        <v>2020</v>
      </c>
      <c r="D935">
        <f t="shared" si="71"/>
        <v>1</v>
      </c>
      <c r="E935" t="s">
        <v>76</v>
      </c>
      <c r="F935" t="s">
        <v>77</v>
      </c>
      <c r="G935" s="14">
        <v>70802</v>
      </c>
      <c r="H935" t="s">
        <v>53</v>
      </c>
      <c r="I935" t="s">
        <v>54</v>
      </c>
      <c r="J935" t="s">
        <v>1049</v>
      </c>
      <c r="K935">
        <f t="shared" si="72"/>
        <v>1</v>
      </c>
      <c r="L935">
        <f t="shared" si="73"/>
        <v>0</v>
      </c>
      <c r="M935">
        <f t="shared" si="74"/>
        <v>1</v>
      </c>
    </row>
    <row r="936" spans="1:13">
      <c r="A936">
        <v>85</v>
      </c>
      <c r="B936" s="13">
        <v>43834</v>
      </c>
      <c r="C936">
        <f t="shared" si="70"/>
        <v>2020</v>
      </c>
      <c r="D936">
        <f t="shared" si="71"/>
        <v>1</v>
      </c>
      <c r="E936" t="s">
        <v>38</v>
      </c>
      <c r="F936" t="s">
        <v>165</v>
      </c>
      <c r="G936" s="14">
        <v>79280</v>
      </c>
      <c r="H936" t="s">
        <v>57</v>
      </c>
      <c r="I936" t="s">
        <v>106</v>
      </c>
      <c r="J936" t="s">
        <v>1050</v>
      </c>
      <c r="K936">
        <f t="shared" si="72"/>
        <v>1</v>
      </c>
      <c r="L936">
        <f t="shared" si="73"/>
        <v>0</v>
      </c>
      <c r="M936">
        <f t="shared" si="74"/>
        <v>1</v>
      </c>
    </row>
    <row r="937" spans="1:13">
      <c r="A937">
        <v>714</v>
      </c>
      <c r="B937" s="13">
        <v>43835</v>
      </c>
      <c r="C937">
        <f t="shared" si="70"/>
        <v>2020</v>
      </c>
      <c r="D937">
        <f t="shared" si="71"/>
        <v>1</v>
      </c>
      <c r="E937" t="s">
        <v>76</v>
      </c>
      <c r="F937" t="s">
        <v>91</v>
      </c>
      <c r="G937" s="14">
        <v>71781</v>
      </c>
      <c r="H937" t="s">
        <v>60</v>
      </c>
      <c r="I937" t="s">
        <v>114</v>
      </c>
      <c r="J937" t="s">
        <v>1051</v>
      </c>
      <c r="K937">
        <f t="shared" si="72"/>
        <v>1</v>
      </c>
      <c r="L937">
        <f t="shared" si="73"/>
        <v>0</v>
      </c>
      <c r="M937">
        <f t="shared" si="74"/>
        <v>1</v>
      </c>
    </row>
    <row r="938" spans="1:13">
      <c r="A938">
        <v>810</v>
      </c>
      <c r="B938" s="13">
        <v>43840</v>
      </c>
      <c r="C938">
        <f t="shared" si="70"/>
        <v>2020</v>
      </c>
      <c r="D938">
        <f t="shared" si="71"/>
        <v>1</v>
      </c>
      <c r="E938" t="s">
        <v>47</v>
      </c>
      <c r="F938" t="s">
        <v>116</v>
      </c>
      <c r="G938" s="14">
        <v>57013</v>
      </c>
      <c r="H938" t="s">
        <v>60</v>
      </c>
      <c r="I938" t="s">
        <v>114</v>
      </c>
      <c r="J938" t="s">
        <v>1052</v>
      </c>
      <c r="K938">
        <f t="shared" si="72"/>
        <v>1</v>
      </c>
      <c r="L938">
        <f t="shared" si="73"/>
        <v>0</v>
      </c>
      <c r="M938">
        <f t="shared" si="74"/>
        <v>1</v>
      </c>
    </row>
    <row r="939" spans="1:13">
      <c r="A939">
        <v>904</v>
      </c>
      <c r="B939" s="13">
        <v>43844</v>
      </c>
      <c r="C939">
        <f t="shared" si="70"/>
        <v>2020</v>
      </c>
      <c r="D939">
        <f t="shared" si="71"/>
        <v>1</v>
      </c>
      <c r="E939" t="s">
        <v>76</v>
      </c>
      <c r="F939" t="s">
        <v>110</v>
      </c>
      <c r="G939" s="14">
        <v>43366</v>
      </c>
      <c r="H939" t="s">
        <v>40</v>
      </c>
      <c r="I939" t="s">
        <v>41</v>
      </c>
      <c r="J939" t="s">
        <v>1053</v>
      </c>
      <c r="K939">
        <f t="shared" si="72"/>
        <v>1</v>
      </c>
      <c r="L939">
        <f t="shared" si="73"/>
        <v>0</v>
      </c>
      <c r="M939">
        <f t="shared" si="74"/>
        <v>1</v>
      </c>
    </row>
    <row r="940" spans="1:13">
      <c r="A940">
        <v>921</v>
      </c>
      <c r="B940" s="13">
        <v>43844</v>
      </c>
      <c r="C940">
        <f t="shared" si="70"/>
        <v>2020</v>
      </c>
      <c r="D940">
        <f t="shared" si="71"/>
        <v>1</v>
      </c>
      <c r="E940" t="s">
        <v>47</v>
      </c>
      <c r="F940" t="s">
        <v>52</v>
      </c>
      <c r="G940" s="14">
        <v>56666</v>
      </c>
      <c r="H940" t="s">
        <v>40</v>
      </c>
      <c r="I940" t="s">
        <v>41</v>
      </c>
      <c r="J940" t="s">
        <v>1054</v>
      </c>
      <c r="K940">
        <f t="shared" si="72"/>
        <v>1</v>
      </c>
      <c r="L940">
        <f t="shared" si="73"/>
        <v>0</v>
      </c>
      <c r="M940">
        <f t="shared" si="74"/>
        <v>1</v>
      </c>
    </row>
    <row r="941" spans="1:13">
      <c r="A941">
        <v>747</v>
      </c>
      <c r="B941" s="13">
        <v>43850</v>
      </c>
      <c r="C941">
        <f t="shared" si="70"/>
        <v>2020</v>
      </c>
      <c r="D941">
        <f t="shared" si="71"/>
        <v>1</v>
      </c>
      <c r="E941" t="s">
        <v>73</v>
      </c>
      <c r="F941" t="s">
        <v>102</v>
      </c>
      <c r="G941" s="14">
        <v>79727</v>
      </c>
      <c r="H941" t="s">
        <v>60</v>
      </c>
      <c r="I941" t="s">
        <v>188</v>
      </c>
      <c r="J941" t="s">
        <v>916</v>
      </c>
      <c r="K941">
        <f t="shared" si="72"/>
        <v>1</v>
      </c>
      <c r="L941">
        <f t="shared" si="73"/>
        <v>0</v>
      </c>
      <c r="M941">
        <f t="shared" si="74"/>
        <v>1</v>
      </c>
    </row>
    <row r="942" spans="1:13">
      <c r="A942">
        <v>871</v>
      </c>
      <c r="B942" s="13">
        <v>43853</v>
      </c>
      <c r="C942">
        <f t="shared" si="70"/>
        <v>2020</v>
      </c>
      <c r="D942">
        <f t="shared" si="71"/>
        <v>1</v>
      </c>
      <c r="E942" t="s">
        <v>94</v>
      </c>
      <c r="F942" t="s">
        <v>148</v>
      </c>
      <c r="G942" s="14">
        <v>46643</v>
      </c>
      <c r="H942" t="s">
        <v>53</v>
      </c>
      <c r="I942" t="s">
        <v>68</v>
      </c>
      <c r="J942" t="s">
        <v>1055</v>
      </c>
      <c r="K942">
        <f t="shared" si="72"/>
        <v>1</v>
      </c>
      <c r="L942">
        <f t="shared" si="73"/>
        <v>0</v>
      </c>
      <c r="M942">
        <f t="shared" si="74"/>
        <v>1</v>
      </c>
    </row>
    <row r="943" spans="1:13">
      <c r="A943">
        <v>838</v>
      </c>
      <c r="B943" s="13">
        <v>43858</v>
      </c>
      <c r="C943">
        <f t="shared" si="70"/>
        <v>2020</v>
      </c>
      <c r="D943">
        <f t="shared" si="71"/>
        <v>1</v>
      </c>
      <c r="E943" t="s">
        <v>47</v>
      </c>
      <c r="F943" t="s">
        <v>132</v>
      </c>
      <c r="G943" s="14">
        <v>69251</v>
      </c>
      <c r="H943" t="s">
        <v>53</v>
      </c>
      <c r="I943" t="s">
        <v>54</v>
      </c>
      <c r="J943" t="s">
        <v>1056</v>
      </c>
      <c r="K943">
        <f t="shared" si="72"/>
        <v>1</v>
      </c>
      <c r="L943">
        <f t="shared" si="73"/>
        <v>0</v>
      </c>
      <c r="M943">
        <f t="shared" si="74"/>
        <v>1</v>
      </c>
    </row>
    <row r="944" spans="1:13">
      <c r="A944">
        <v>594</v>
      </c>
      <c r="B944" s="13">
        <v>43861</v>
      </c>
      <c r="C944">
        <f t="shared" si="70"/>
        <v>2020</v>
      </c>
      <c r="D944">
        <f t="shared" si="71"/>
        <v>1</v>
      </c>
      <c r="E944" t="s">
        <v>47</v>
      </c>
      <c r="F944" t="s">
        <v>155</v>
      </c>
      <c r="G944" s="14">
        <v>54416</v>
      </c>
      <c r="H944" t="s">
        <v>53</v>
      </c>
      <c r="I944" t="s">
        <v>120</v>
      </c>
      <c r="J944" t="s">
        <v>1057</v>
      </c>
      <c r="K944">
        <f t="shared" si="72"/>
        <v>1</v>
      </c>
      <c r="L944">
        <f t="shared" si="73"/>
        <v>0</v>
      </c>
      <c r="M944">
        <f t="shared" si="74"/>
        <v>1</v>
      </c>
    </row>
    <row r="945" spans="1:13">
      <c r="A945">
        <v>592</v>
      </c>
      <c r="B945" s="13">
        <v>43863</v>
      </c>
      <c r="C945">
        <f t="shared" si="70"/>
        <v>2020</v>
      </c>
      <c r="D945">
        <f t="shared" si="71"/>
        <v>2</v>
      </c>
      <c r="E945" t="s">
        <v>43</v>
      </c>
      <c r="F945" t="s">
        <v>197</v>
      </c>
      <c r="G945" s="14">
        <v>65418</v>
      </c>
      <c r="H945" t="s">
        <v>53</v>
      </c>
      <c r="I945" t="s">
        <v>68</v>
      </c>
      <c r="J945" t="s">
        <v>1058</v>
      </c>
      <c r="K945">
        <f t="shared" si="72"/>
        <v>1</v>
      </c>
      <c r="L945">
        <f t="shared" si="73"/>
        <v>0</v>
      </c>
      <c r="M945">
        <f t="shared" si="74"/>
        <v>1</v>
      </c>
    </row>
    <row r="946" spans="1:13">
      <c r="A946">
        <v>880</v>
      </c>
      <c r="B946" s="13">
        <v>43869</v>
      </c>
      <c r="C946">
        <f t="shared" si="70"/>
        <v>2020</v>
      </c>
      <c r="D946">
        <f t="shared" si="71"/>
        <v>2</v>
      </c>
      <c r="E946" t="s">
        <v>38</v>
      </c>
      <c r="F946" t="s">
        <v>165</v>
      </c>
      <c r="G946" s="14">
        <v>60633</v>
      </c>
      <c r="H946" t="s">
        <v>60</v>
      </c>
      <c r="I946" t="s">
        <v>188</v>
      </c>
      <c r="J946" t="s">
        <v>1059</v>
      </c>
      <c r="K946">
        <f t="shared" si="72"/>
        <v>1</v>
      </c>
      <c r="L946">
        <f t="shared" si="73"/>
        <v>0</v>
      </c>
      <c r="M946">
        <f t="shared" si="74"/>
        <v>1</v>
      </c>
    </row>
    <row r="947" spans="1:13">
      <c r="A947">
        <v>116</v>
      </c>
      <c r="B947" s="13">
        <v>43873</v>
      </c>
      <c r="C947">
        <f t="shared" si="70"/>
        <v>2020</v>
      </c>
      <c r="D947">
        <f t="shared" si="71"/>
        <v>2</v>
      </c>
      <c r="E947" t="s">
        <v>43</v>
      </c>
      <c r="F947" t="s">
        <v>380</v>
      </c>
      <c r="G947" s="14">
        <v>65119</v>
      </c>
      <c r="H947" t="s">
        <v>53</v>
      </c>
      <c r="I947" t="s">
        <v>120</v>
      </c>
      <c r="J947" t="s">
        <v>1060</v>
      </c>
      <c r="K947">
        <f t="shared" si="72"/>
        <v>1</v>
      </c>
      <c r="L947">
        <f t="shared" si="73"/>
        <v>0</v>
      </c>
      <c r="M947">
        <f t="shared" si="74"/>
        <v>1</v>
      </c>
    </row>
    <row r="948" spans="1:13">
      <c r="A948">
        <v>589</v>
      </c>
      <c r="B948" s="13">
        <v>43873</v>
      </c>
      <c r="C948">
        <f t="shared" si="70"/>
        <v>2020</v>
      </c>
      <c r="D948">
        <f t="shared" si="71"/>
        <v>2</v>
      </c>
      <c r="E948" t="s">
        <v>38</v>
      </c>
      <c r="F948" t="s">
        <v>227</v>
      </c>
      <c r="G948" s="14">
        <v>70202</v>
      </c>
      <c r="H948" t="s">
        <v>60</v>
      </c>
      <c r="I948" t="s">
        <v>71</v>
      </c>
      <c r="J948" t="s">
        <v>1061</v>
      </c>
      <c r="K948">
        <f t="shared" si="72"/>
        <v>1</v>
      </c>
      <c r="L948">
        <f t="shared" si="73"/>
        <v>0</v>
      </c>
      <c r="M948">
        <f t="shared" si="74"/>
        <v>1</v>
      </c>
    </row>
    <row r="949" spans="1:13">
      <c r="A949">
        <v>629</v>
      </c>
      <c r="B949" s="13">
        <v>43877</v>
      </c>
      <c r="C949">
        <f t="shared" si="70"/>
        <v>2020</v>
      </c>
      <c r="D949">
        <f t="shared" si="71"/>
        <v>2</v>
      </c>
      <c r="E949" t="s">
        <v>38</v>
      </c>
      <c r="F949" t="s">
        <v>165</v>
      </c>
      <c r="G949" s="14">
        <v>79792</v>
      </c>
      <c r="H949" t="s">
        <v>57</v>
      </c>
      <c r="I949" t="s">
        <v>106</v>
      </c>
      <c r="J949" t="s">
        <v>1062</v>
      </c>
      <c r="K949">
        <f t="shared" si="72"/>
        <v>1</v>
      </c>
      <c r="L949">
        <f t="shared" si="73"/>
        <v>0</v>
      </c>
      <c r="M949">
        <f t="shared" si="74"/>
        <v>1</v>
      </c>
    </row>
    <row r="950" spans="1:13">
      <c r="A950">
        <v>160</v>
      </c>
      <c r="B950" s="13">
        <v>43881</v>
      </c>
      <c r="C950">
        <f t="shared" si="70"/>
        <v>2020</v>
      </c>
      <c r="D950">
        <f t="shared" si="71"/>
        <v>2</v>
      </c>
      <c r="E950" t="s">
        <v>63</v>
      </c>
      <c r="F950" t="s">
        <v>179</v>
      </c>
      <c r="G950" s="14">
        <v>45928</v>
      </c>
      <c r="H950" t="s">
        <v>40</v>
      </c>
      <c r="I950" t="s">
        <v>142</v>
      </c>
      <c r="J950" t="s">
        <v>1063</v>
      </c>
      <c r="K950">
        <f t="shared" si="72"/>
        <v>1</v>
      </c>
      <c r="L950">
        <f t="shared" si="73"/>
        <v>0</v>
      </c>
      <c r="M950">
        <f t="shared" si="74"/>
        <v>1</v>
      </c>
    </row>
    <row r="951" spans="1:13">
      <c r="A951">
        <v>947</v>
      </c>
      <c r="B951" s="13">
        <v>43883</v>
      </c>
      <c r="C951">
        <f t="shared" si="70"/>
        <v>2020</v>
      </c>
      <c r="D951">
        <f t="shared" si="71"/>
        <v>2</v>
      </c>
      <c r="E951" t="s">
        <v>47</v>
      </c>
      <c r="F951" t="s">
        <v>52</v>
      </c>
      <c r="G951" s="14">
        <v>54707</v>
      </c>
      <c r="H951" t="s">
        <v>53</v>
      </c>
      <c r="I951" t="s">
        <v>92</v>
      </c>
      <c r="J951" t="s">
        <v>1064</v>
      </c>
      <c r="K951">
        <f t="shared" si="72"/>
        <v>1</v>
      </c>
      <c r="L951">
        <f t="shared" si="73"/>
        <v>0</v>
      </c>
      <c r="M951">
        <f t="shared" si="74"/>
        <v>1</v>
      </c>
    </row>
    <row r="952" spans="1:13">
      <c r="A952">
        <v>585</v>
      </c>
      <c r="B952" s="13">
        <v>43885</v>
      </c>
      <c r="C952">
        <f t="shared" si="70"/>
        <v>2020</v>
      </c>
      <c r="D952">
        <f t="shared" si="71"/>
        <v>2</v>
      </c>
      <c r="E952" t="s">
        <v>38</v>
      </c>
      <c r="F952" t="s">
        <v>165</v>
      </c>
      <c r="G952" s="14">
        <v>56418</v>
      </c>
      <c r="H952" t="s">
        <v>81</v>
      </c>
      <c r="I952" t="s">
        <v>146</v>
      </c>
      <c r="J952" t="s">
        <v>1065</v>
      </c>
      <c r="K952">
        <f t="shared" si="72"/>
        <v>1</v>
      </c>
      <c r="L952">
        <f t="shared" si="73"/>
        <v>0</v>
      </c>
      <c r="M952">
        <f t="shared" si="74"/>
        <v>1</v>
      </c>
    </row>
    <row r="953" spans="1:13">
      <c r="A953">
        <v>383</v>
      </c>
      <c r="B953" s="13">
        <v>43892</v>
      </c>
      <c r="C953">
        <f t="shared" si="70"/>
        <v>2020</v>
      </c>
      <c r="D953">
        <f t="shared" si="71"/>
        <v>3</v>
      </c>
      <c r="E953" t="s">
        <v>76</v>
      </c>
      <c r="F953" t="s">
        <v>138</v>
      </c>
      <c r="G953" s="14">
        <v>49403</v>
      </c>
      <c r="H953" t="s">
        <v>40</v>
      </c>
      <c r="I953" t="s">
        <v>444</v>
      </c>
      <c r="J953" t="s">
        <v>1066</v>
      </c>
      <c r="K953">
        <f t="shared" si="72"/>
        <v>1</v>
      </c>
      <c r="L953">
        <f t="shared" si="73"/>
        <v>0</v>
      </c>
      <c r="M953">
        <f t="shared" si="74"/>
        <v>1</v>
      </c>
    </row>
    <row r="954" spans="1:13">
      <c r="A954">
        <v>908</v>
      </c>
      <c r="B954" s="13">
        <v>43901</v>
      </c>
      <c r="C954">
        <f t="shared" si="70"/>
        <v>2020</v>
      </c>
      <c r="D954">
        <f t="shared" si="71"/>
        <v>3</v>
      </c>
      <c r="E954" t="s">
        <v>47</v>
      </c>
      <c r="F954" t="s">
        <v>116</v>
      </c>
      <c r="G954" s="14">
        <v>44552</v>
      </c>
      <c r="H954" t="s">
        <v>60</v>
      </c>
      <c r="I954" t="s">
        <v>188</v>
      </c>
      <c r="J954" t="s">
        <v>1067</v>
      </c>
      <c r="K954">
        <f t="shared" si="72"/>
        <v>1</v>
      </c>
      <c r="L954">
        <f t="shared" si="73"/>
        <v>0</v>
      </c>
      <c r="M954">
        <f t="shared" si="74"/>
        <v>1</v>
      </c>
    </row>
    <row r="955" spans="1:13">
      <c r="A955">
        <v>507</v>
      </c>
      <c r="B955" s="13">
        <v>43906</v>
      </c>
      <c r="C955">
        <f t="shared" si="70"/>
        <v>2020</v>
      </c>
      <c r="D955">
        <f t="shared" si="71"/>
        <v>3</v>
      </c>
      <c r="E955" t="s">
        <v>76</v>
      </c>
      <c r="F955" t="s">
        <v>138</v>
      </c>
      <c r="G955" s="14">
        <v>52287</v>
      </c>
      <c r="H955" t="s">
        <v>40</v>
      </c>
      <c r="I955" t="s">
        <v>100</v>
      </c>
      <c r="J955" t="s">
        <v>1068</v>
      </c>
      <c r="K955">
        <f t="shared" si="72"/>
        <v>1</v>
      </c>
      <c r="L955">
        <f t="shared" si="73"/>
        <v>0</v>
      </c>
      <c r="M955">
        <f t="shared" si="74"/>
        <v>1</v>
      </c>
    </row>
    <row r="956" spans="1:13">
      <c r="A956">
        <v>353</v>
      </c>
      <c r="B956" s="13">
        <v>43920</v>
      </c>
      <c r="C956">
        <f t="shared" si="70"/>
        <v>2020</v>
      </c>
      <c r="D956">
        <f t="shared" si="71"/>
        <v>3</v>
      </c>
      <c r="E956" t="s">
        <v>94</v>
      </c>
      <c r="F956" t="s">
        <v>652</v>
      </c>
      <c r="G956" s="14">
        <v>62355</v>
      </c>
      <c r="H956" t="s">
        <v>57</v>
      </c>
      <c r="I956" t="s">
        <v>231</v>
      </c>
      <c r="J956" t="s">
        <v>1069</v>
      </c>
      <c r="K956">
        <f t="shared" si="72"/>
        <v>1</v>
      </c>
      <c r="L956">
        <f t="shared" si="73"/>
        <v>0</v>
      </c>
      <c r="M956">
        <f t="shared" si="74"/>
        <v>1</v>
      </c>
    </row>
    <row r="957" spans="1:13">
      <c r="A957">
        <v>121</v>
      </c>
      <c r="B957" s="13">
        <v>43925</v>
      </c>
      <c r="C957">
        <f t="shared" si="70"/>
        <v>2020</v>
      </c>
      <c r="D957">
        <f t="shared" si="71"/>
        <v>4</v>
      </c>
      <c r="E957" t="s">
        <v>47</v>
      </c>
      <c r="F957" t="s">
        <v>136</v>
      </c>
      <c r="G957" s="14">
        <v>67996</v>
      </c>
      <c r="H957" t="s">
        <v>40</v>
      </c>
      <c r="I957" t="s">
        <v>45</v>
      </c>
      <c r="J957" t="s">
        <v>1070</v>
      </c>
      <c r="K957">
        <f t="shared" si="72"/>
        <v>1</v>
      </c>
      <c r="L957">
        <f t="shared" si="73"/>
        <v>0</v>
      </c>
      <c r="M957">
        <f t="shared" si="74"/>
        <v>1</v>
      </c>
    </row>
    <row r="958" spans="1:13">
      <c r="A958">
        <v>784</v>
      </c>
      <c r="B958" s="13">
        <v>43925</v>
      </c>
      <c r="C958">
        <f t="shared" si="70"/>
        <v>2020</v>
      </c>
      <c r="D958">
        <f t="shared" si="71"/>
        <v>4</v>
      </c>
      <c r="E958" t="s">
        <v>76</v>
      </c>
      <c r="F958" t="s">
        <v>77</v>
      </c>
      <c r="G958" s="14">
        <v>66861</v>
      </c>
      <c r="H958" t="s">
        <v>53</v>
      </c>
      <c r="I958" t="s">
        <v>54</v>
      </c>
      <c r="J958" t="s">
        <v>1071</v>
      </c>
      <c r="K958">
        <f t="shared" si="72"/>
        <v>1</v>
      </c>
      <c r="L958">
        <f t="shared" si="73"/>
        <v>0</v>
      </c>
      <c r="M958">
        <f t="shared" si="74"/>
        <v>1</v>
      </c>
    </row>
    <row r="959" spans="1:13">
      <c r="A959">
        <v>390</v>
      </c>
      <c r="B959" s="13">
        <v>43927</v>
      </c>
      <c r="C959">
        <f t="shared" si="70"/>
        <v>2020</v>
      </c>
      <c r="D959">
        <f t="shared" si="71"/>
        <v>4</v>
      </c>
      <c r="E959" t="s">
        <v>73</v>
      </c>
      <c r="F959" t="s">
        <v>102</v>
      </c>
      <c r="G959" s="14">
        <v>60419</v>
      </c>
      <c r="H959" t="s">
        <v>81</v>
      </c>
      <c r="I959" t="s">
        <v>82</v>
      </c>
      <c r="J959" t="s">
        <v>1072</v>
      </c>
      <c r="K959">
        <f t="shared" si="72"/>
        <v>1</v>
      </c>
      <c r="L959">
        <f t="shared" si="73"/>
        <v>0</v>
      </c>
      <c r="M959">
        <f t="shared" si="74"/>
        <v>1</v>
      </c>
    </row>
    <row r="960" spans="1:13">
      <c r="A960">
        <v>479</v>
      </c>
      <c r="B960" s="13">
        <v>43928</v>
      </c>
      <c r="C960">
        <f t="shared" si="70"/>
        <v>2020</v>
      </c>
      <c r="D960">
        <f t="shared" si="71"/>
        <v>4</v>
      </c>
      <c r="E960" t="s">
        <v>73</v>
      </c>
      <c r="F960" t="s">
        <v>102</v>
      </c>
      <c r="G960" s="14">
        <v>48429</v>
      </c>
      <c r="H960" t="s">
        <v>49</v>
      </c>
      <c r="I960" t="s">
        <v>103</v>
      </c>
      <c r="J960" t="s">
        <v>1073</v>
      </c>
      <c r="K960">
        <f t="shared" si="72"/>
        <v>1</v>
      </c>
      <c r="L960">
        <f t="shared" si="73"/>
        <v>0</v>
      </c>
      <c r="M960">
        <f t="shared" si="74"/>
        <v>1</v>
      </c>
    </row>
    <row r="961" spans="1:13">
      <c r="A961">
        <v>853</v>
      </c>
      <c r="B961" s="13">
        <v>43929</v>
      </c>
      <c r="C961">
        <f t="shared" si="70"/>
        <v>2020</v>
      </c>
      <c r="D961">
        <f t="shared" si="71"/>
        <v>4</v>
      </c>
      <c r="E961" t="s">
        <v>76</v>
      </c>
      <c r="F961" t="s">
        <v>77</v>
      </c>
      <c r="G961" s="14">
        <v>62866</v>
      </c>
      <c r="H961" t="s">
        <v>40</v>
      </c>
      <c r="I961" t="s">
        <v>41</v>
      </c>
      <c r="J961" t="s">
        <v>1074</v>
      </c>
      <c r="K961">
        <f t="shared" si="72"/>
        <v>1</v>
      </c>
      <c r="L961">
        <f t="shared" si="73"/>
        <v>0</v>
      </c>
      <c r="M961">
        <f t="shared" si="74"/>
        <v>1</v>
      </c>
    </row>
    <row r="962" spans="1:13">
      <c r="A962">
        <v>742</v>
      </c>
      <c r="B962" s="13">
        <v>43930</v>
      </c>
      <c r="C962">
        <f t="shared" ref="C962:C1025" si="75">YEAR(B962)</f>
        <v>2020</v>
      </c>
      <c r="D962">
        <f t="shared" ref="D962:D986" si="76">MONTH(B962)</f>
        <v>4</v>
      </c>
      <c r="E962" t="s">
        <v>73</v>
      </c>
      <c r="F962" t="s">
        <v>140</v>
      </c>
      <c r="G962" s="14">
        <v>71125</v>
      </c>
      <c r="H962" t="s">
        <v>60</v>
      </c>
      <c r="I962" t="s">
        <v>114</v>
      </c>
      <c r="J962" t="s">
        <v>1075</v>
      </c>
      <c r="K962">
        <f t="shared" ref="K962:K986" si="77">IF(AND(OR(sel_ano="Todos",C962=sel_ano),OR(sel_pais="Todos",H962=sel_pais),OR(sel_marca="Todas",E962=sel_marca)),1,0)</f>
        <v>1</v>
      </c>
      <c r="L962">
        <f t="shared" ref="L962:L986" si="78">IF(sel_ano="Todos",0,IF(AND(C962=sel_ano-1,OR(sel_pais="Todos",H962=sel_pais),OR(sel_marca="Todas",E962=sel_marca)),1,0))</f>
        <v>0</v>
      </c>
      <c r="M962">
        <f t="shared" ref="M962:M986" si="79">IF(AND(OR(sel_pais="Todos",H962=sel_pais),OR(sel_marca="Todas",E962=sel_marca)),1,0)</f>
        <v>1</v>
      </c>
    </row>
    <row r="963" spans="1:13">
      <c r="A963">
        <v>205</v>
      </c>
      <c r="B963" s="13">
        <v>43931</v>
      </c>
      <c r="C963">
        <f t="shared" si="75"/>
        <v>2020</v>
      </c>
      <c r="D963">
        <f t="shared" si="76"/>
        <v>4</v>
      </c>
      <c r="E963" t="s">
        <v>63</v>
      </c>
      <c r="F963" t="s">
        <v>425</v>
      </c>
      <c r="G963" s="14">
        <v>62513</v>
      </c>
      <c r="H963" t="s">
        <v>40</v>
      </c>
      <c r="I963" t="s">
        <v>291</v>
      </c>
      <c r="J963" t="s">
        <v>1076</v>
      </c>
      <c r="K963">
        <f t="shared" si="77"/>
        <v>1</v>
      </c>
      <c r="L963">
        <f t="shared" si="78"/>
        <v>0</v>
      </c>
      <c r="M963">
        <f t="shared" si="79"/>
        <v>1</v>
      </c>
    </row>
    <row r="964" spans="1:13">
      <c r="A964">
        <v>448</v>
      </c>
      <c r="B964" s="13">
        <v>43934</v>
      </c>
      <c r="C964">
        <f t="shared" si="75"/>
        <v>2020</v>
      </c>
      <c r="D964">
        <f t="shared" si="76"/>
        <v>4</v>
      </c>
      <c r="E964" t="s">
        <v>43</v>
      </c>
      <c r="F964" t="s">
        <v>44</v>
      </c>
      <c r="G964" s="14">
        <v>55420</v>
      </c>
      <c r="H964" t="s">
        <v>49</v>
      </c>
      <c r="I964" t="s">
        <v>103</v>
      </c>
      <c r="J964" t="s">
        <v>1077</v>
      </c>
      <c r="K964">
        <f t="shared" si="77"/>
        <v>1</v>
      </c>
      <c r="L964">
        <f t="shared" si="78"/>
        <v>0</v>
      </c>
      <c r="M964">
        <f t="shared" si="79"/>
        <v>1</v>
      </c>
    </row>
    <row r="965" spans="1:13">
      <c r="A965">
        <v>896</v>
      </c>
      <c r="B965" s="13">
        <v>43935</v>
      </c>
      <c r="C965">
        <f t="shared" si="75"/>
        <v>2020</v>
      </c>
      <c r="D965">
        <f t="shared" si="76"/>
        <v>4</v>
      </c>
      <c r="E965" t="s">
        <v>47</v>
      </c>
      <c r="F965" t="s">
        <v>48</v>
      </c>
      <c r="G965" s="14">
        <v>40460</v>
      </c>
      <c r="H965" t="s">
        <v>53</v>
      </c>
      <c r="I965" t="s">
        <v>92</v>
      </c>
      <c r="J965" t="s">
        <v>1078</v>
      </c>
      <c r="K965">
        <f t="shared" si="77"/>
        <v>1</v>
      </c>
      <c r="L965">
        <f t="shared" si="78"/>
        <v>0</v>
      </c>
      <c r="M965">
        <f t="shared" si="79"/>
        <v>1</v>
      </c>
    </row>
    <row r="966" spans="1:13">
      <c r="A966">
        <v>779</v>
      </c>
      <c r="B966" s="13">
        <v>43945</v>
      </c>
      <c r="C966">
        <f t="shared" si="75"/>
        <v>2020</v>
      </c>
      <c r="D966">
        <f t="shared" si="76"/>
        <v>4</v>
      </c>
      <c r="E966" t="s">
        <v>47</v>
      </c>
      <c r="F966" t="s">
        <v>155</v>
      </c>
      <c r="G966" s="14">
        <v>41307</v>
      </c>
      <c r="H966" t="s">
        <v>53</v>
      </c>
      <c r="I966" t="s">
        <v>92</v>
      </c>
      <c r="J966" t="s">
        <v>863</v>
      </c>
      <c r="K966">
        <f t="shared" si="77"/>
        <v>1</v>
      </c>
      <c r="L966">
        <f t="shared" si="78"/>
        <v>0</v>
      </c>
      <c r="M966">
        <f t="shared" si="79"/>
        <v>1</v>
      </c>
    </row>
    <row r="967" spans="1:13">
      <c r="A967">
        <v>372</v>
      </c>
      <c r="B967" s="13">
        <v>43950</v>
      </c>
      <c r="C967">
        <f t="shared" si="75"/>
        <v>2020</v>
      </c>
      <c r="D967">
        <f t="shared" si="76"/>
        <v>4</v>
      </c>
      <c r="E967" t="s">
        <v>47</v>
      </c>
      <c r="F967" t="s">
        <v>132</v>
      </c>
      <c r="G967" s="14">
        <v>56432</v>
      </c>
      <c r="H967" t="s">
        <v>53</v>
      </c>
      <c r="I967" t="s">
        <v>92</v>
      </c>
      <c r="J967" t="s">
        <v>794</v>
      </c>
      <c r="K967">
        <f t="shared" si="77"/>
        <v>1</v>
      </c>
      <c r="L967">
        <f t="shared" si="78"/>
        <v>0</v>
      </c>
      <c r="M967">
        <f t="shared" si="79"/>
        <v>1</v>
      </c>
    </row>
    <row r="968" spans="1:13">
      <c r="A968">
        <v>259</v>
      </c>
      <c r="B968" s="13">
        <v>43954</v>
      </c>
      <c r="C968">
        <f t="shared" si="75"/>
        <v>2020</v>
      </c>
      <c r="D968">
        <f t="shared" si="76"/>
        <v>5</v>
      </c>
      <c r="E968" t="s">
        <v>94</v>
      </c>
      <c r="F968" t="s">
        <v>192</v>
      </c>
      <c r="G968" s="14">
        <v>78710</v>
      </c>
      <c r="H968" t="s">
        <v>81</v>
      </c>
      <c r="I968" t="s">
        <v>82</v>
      </c>
      <c r="J968" t="s">
        <v>1079</v>
      </c>
      <c r="K968">
        <f t="shared" si="77"/>
        <v>1</v>
      </c>
      <c r="L968">
        <f t="shared" si="78"/>
        <v>0</v>
      </c>
      <c r="M968">
        <f t="shared" si="79"/>
        <v>1</v>
      </c>
    </row>
    <row r="969" spans="1:13">
      <c r="A969">
        <v>700</v>
      </c>
      <c r="B969" s="13">
        <v>43956</v>
      </c>
      <c r="C969">
        <f t="shared" si="75"/>
        <v>2020</v>
      </c>
      <c r="D969">
        <f t="shared" si="76"/>
        <v>5</v>
      </c>
      <c r="E969" t="s">
        <v>63</v>
      </c>
      <c r="F969" t="s">
        <v>64</v>
      </c>
      <c r="G969" s="14">
        <v>52466.11</v>
      </c>
      <c r="H969" t="s">
        <v>60</v>
      </c>
      <c r="I969" t="s">
        <v>61</v>
      </c>
      <c r="J969" t="s">
        <v>1080</v>
      </c>
      <c r="K969">
        <f t="shared" si="77"/>
        <v>1</v>
      </c>
      <c r="L969">
        <f t="shared" si="78"/>
        <v>0</v>
      </c>
      <c r="M969">
        <f t="shared" si="79"/>
        <v>1</v>
      </c>
    </row>
    <row r="970" spans="1:13">
      <c r="A970">
        <v>365</v>
      </c>
      <c r="B970" s="13">
        <v>43960</v>
      </c>
      <c r="C970">
        <f t="shared" si="75"/>
        <v>2020</v>
      </c>
      <c r="D970">
        <f t="shared" si="76"/>
        <v>5</v>
      </c>
      <c r="E970" t="s">
        <v>63</v>
      </c>
      <c r="F970" t="s">
        <v>162</v>
      </c>
      <c r="G970" s="14">
        <v>76121</v>
      </c>
      <c r="H970" t="s">
        <v>57</v>
      </c>
      <c r="I970" t="s">
        <v>65</v>
      </c>
      <c r="J970" t="s">
        <v>1081</v>
      </c>
      <c r="K970">
        <f t="shared" si="77"/>
        <v>1</v>
      </c>
      <c r="L970">
        <f t="shared" si="78"/>
        <v>0</v>
      </c>
      <c r="M970">
        <f t="shared" si="79"/>
        <v>1</v>
      </c>
    </row>
    <row r="971" spans="1:13">
      <c r="A971">
        <v>843</v>
      </c>
      <c r="B971" s="13">
        <v>43962</v>
      </c>
      <c r="C971">
        <f t="shared" si="75"/>
        <v>2020</v>
      </c>
      <c r="D971">
        <f t="shared" si="76"/>
        <v>5</v>
      </c>
      <c r="E971" t="s">
        <v>38</v>
      </c>
      <c r="F971" t="s">
        <v>165</v>
      </c>
      <c r="G971" s="14">
        <v>59503</v>
      </c>
      <c r="H971" t="s">
        <v>49</v>
      </c>
      <c r="I971" t="s">
        <v>103</v>
      </c>
      <c r="J971" t="s">
        <v>1082</v>
      </c>
      <c r="K971">
        <f t="shared" si="77"/>
        <v>1</v>
      </c>
      <c r="L971">
        <f t="shared" si="78"/>
        <v>0</v>
      </c>
      <c r="M971">
        <f t="shared" si="79"/>
        <v>1</v>
      </c>
    </row>
    <row r="972" spans="1:13">
      <c r="A972">
        <v>55</v>
      </c>
      <c r="B972" s="13">
        <v>43964</v>
      </c>
      <c r="C972">
        <f t="shared" si="75"/>
        <v>2020</v>
      </c>
      <c r="D972">
        <f t="shared" si="76"/>
        <v>5</v>
      </c>
      <c r="E972" t="s">
        <v>43</v>
      </c>
      <c r="F972" t="s">
        <v>70</v>
      </c>
      <c r="G972" s="14">
        <v>60946</v>
      </c>
      <c r="H972" t="s">
        <v>40</v>
      </c>
      <c r="I972" t="s">
        <v>98</v>
      </c>
      <c r="J972" t="s">
        <v>1083</v>
      </c>
      <c r="K972">
        <f t="shared" si="77"/>
        <v>1</v>
      </c>
      <c r="L972">
        <f t="shared" si="78"/>
        <v>0</v>
      </c>
      <c r="M972">
        <f t="shared" si="79"/>
        <v>1</v>
      </c>
    </row>
    <row r="973" spans="1:13">
      <c r="A973">
        <v>188</v>
      </c>
      <c r="B973" s="13">
        <v>43973</v>
      </c>
      <c r="C973">
        <f t="shared" si="75"/>
        <v>2020</v>
      </c>
      <c r="D973">
        <f t="shared" si="76"/>
        <v>5</v>
      </c>
      <c r="E973" t="s">
        <v>73</v>
      </c>
      <c r="F973" t="s">
        <v>74</v>
      </c>
      <c r="G973" s="14">
        <v>76893</v>
      </c>
      <c r="H973" t="s">
        <v>60</v>
      </c>
      <c r="I973" t="s">
        <v>61</v>
      </c>
      <c r="J973" t="s">
        <v>1084</v>
      </c>
      <c r="K973">
        <f t="shared" si="77"/>
        <v>1</v>
      </c>
      <c r="L973">
        <f t="shared" si="78"/>
        <v>0</v>
      </c>
      <c r="M973">
        <f t="shared" si="79"/>
        <v>1</v>
      </c>
    </row>
    <row r="974" spans="1:13">
      <c r="A974">
        <v>878</v>
      </c>
      <c r="B974" s="13">
        <v>43980</v>
      </c>
      <c r="C974">
        <f t="shared" si="75"/>
        <v>2020</v>
      </c>
      <c r="D974">
        <f t="shared" si="76"/>
        <v>5</v>
      </c>
      <c r="E974" t="s">
        <v>43</v>
      </c>
      <c r="F974" t="s">
        <v>251</v>
      </c>
      <c r="G974" s="14">
        <v>52738</v>
      </c>
      <c r="H974" t="s">
        <v>53</v>
      </c>
      <c r="I974" t="s">
        <v>68</v>
      </c>
      <c r="J974" t="s">
        <v>1085</v>
      </c>
      <c r="K974">
        <f t="shared" si="77"/>
        <v>1</v>
      </c>
      <c r="L974">
        <f t="shared" si="78"/>
        <v>0</v>
      </c>
      <c r="M974">
        <f t="shared" si="79"/>
        <v>1</v>
      </c>
    </row>
    <row r="975" spans="1:13">
      <c r="A975">
        <v>889</v>
      </c>
      <c r="B975" s="13">
        <v>43980</v>
      </c>
      <c r="C975">
        <f t="shared" si="75"/>
        <v>2020</v>
      </c>
      <c r="D975">
        <f t="shared" si="76"/>
        <v>5</v>
      </c>
      <c r="E975" t="s">
        <v>47</v>
      </c>
      <c r="F975" t="s">
        <v>48</v>
      </c>
      <c r="G975" s="14">
        <v>63928</v>
      </c>
      <c r="H975" t="s">
        <v>49</v>
      </c>
      <c r="I975" t="s">
        <v>151</v>
      </c>
      <c r="J975" t="s">
        <v>1086</v>
      </c>
      <c r="K975">
        <f t="shared" si="77"/>
        <v>1</v>
      </c>
      <c r="L975">
        <f t="shared" si="78"/>
        <v>0</v>
      </c>
      <c r="M975">
        <f t="shared" si="79"/>
        <v>1</v>
      </c>
    </row>
    <row r="976" spans="1:13">
      <c r="A976">
        <v>895</v>
      </c>
      <c r="B976" s="13">
        <v>43986</v>
      </c>
      <c r="C976">
        <f t="shared" si="75"/>
        <v>2020</v>
      </c>
      <c r="D976">
        <f t="shared" si="76"/>
        <v>6</v>
      </c>
      <c r="E976" t="s">
        <v>73</v>
      </c>
      <c r="F976" t="s">
        <v>74</v>
      </c>
      <c r="G976" s="14">
        <v>70664</v>
      </c>
      <c r="H976" t="s">
        <v>40</v>
      </c>
      <c r="I976" t="s">
        <v>100</v>
      </c>
      <c r="J976" t="s">
        <v>1087</v>
      </c>
      <c r="K976">
        <f t="shared" si="77"/>
        <v>1</v>
      </c>
      <c r="L976">
        <f t="shared" si="78"/>
        <v>0</v>
      </c>
      <c r="M976">
        <f t="shared" si="79"/>
        <v>1</v>
      </c>
    </row>
    <row r="977" spans="1:13">
      <c r="A977">
        <v>258</v>
      </c>
      <c r="B977" s="13">
        <v>43989</v>
      </c>
      <c r="C977">
        <f t="shared" si="75"/>
        <v>2020</v>
      </c>
      <c r="D977">
        <f t="shared" si="76"/>
        <v>6</v>
      </c>
      <c r="E977" t="s">
        <v>47</v>
      </c>
      <c r="F977" t="s">
        <v>48</v>
      </c>
      <c r="G977" s="14">
        <v>59266.85</v>
      </c>
      <c r="H977" t="s">
        <v>40</v>
      </c>
      <c r="I977" t="s">
        <v>45</v>
      </c>
      <c r="J977" t="s">
        <v>1088</v>
      </c>
      <c r="K977">
        <f t="shared" si="77"/>
        <v>1</v>
      </c>
      <c r="L977">
        <f t="shared" si="78"/>
        <v>0</v>
      </c>
      <c r="M977">
        <f t="shared" si="79"/>
        <v>1</v>
      </c>
    </row>
    <row r="978" spans="1:13">
      <c r="A978">
        <v>313</v>
      </c>
      <c r="B978" s="13">
        <v>43991</v>
      </c>
      <c r="C978">
        <f t="shared" si="75"/>
        <v>2020</v>
      </c>
      <c r="D978">
        <f t="shared" si="76"/>
        <v>6</v>
      </c>
      <c r="E978" t="s">
        <v>38</v>
      </c>
      <c r="F978" t="s">
        <v>227</v>
      </c>
      <c r="G978" s="14">
        <v>44124</v>
      </c>
      <c r="H978" t="s">
        <v>57</v>
      </c>
      <c r="I978" t="s">
        <v>58</v>
      </c>
      <c r="J978" t="s">
        <v>1089</v>
      </c>
      <c r="K978">
        <f t="shared" si="77"/>
        <v>1</v>
      </c>
      <c r="L978">
        <f t="shared" si="78"/>
        <v>0</v>
      </c>
      <c r="M978">
        <f t="shared" si="79"/>
        <v>1</v>
      </c>
    </row>
    <row r="979" spans="1:13">
      <c r="A979">
        <v>559</v>
      </c>
      <c r="B979" s="13">
        <v>43991</v>
      </c>
      <c r="C979">
        <f t="shared" si="75"/>
        <v>2020</v>
      </c>
      <c r="D979">
        <f t="shared" si="76"/>
        <v>6</v>
      </c>
      <c r="E979" t="s">
        <v>73</v>
      </c>
      <c r="F979" t="s">
        <v>223</v>
      </c>
      <c r="G979" s="14">
        <v>69046</v>
      </c>
      <c r="H979" t="s">
        <v>60</v>
      </c>
      <c r="I979" t="s">
        <v>61</v>
      </c>
      <c r="J979" t="s">
        <v>1090</v>
      </c>
      <c r="K979">
        <f t="shared" si="77"/>
        <v>1</v>
      </c>
      <c r="L979">
        <f t="shared" si="78"/>
        <v>0</v>
      </c>
      <c r="M979">
        <f t="shared" si="79"/>
        <v>1</v>
      </c>
    </row>
    <row r="980" spans="1:13">
      <c r="A980">
        <v>939</v>
      </c>
      <c r="B980" s="13">
        <v>43991</v>
      </c>
      <c r="C980">
        <f t="shared" si="75"/>
        <v>2020</v>
      </c>
      <c r="D980">
        <f t="shared" si="76"/>
        <v>6</v>
      </c>
      <c r="E980" t="s">
        <v>76</v>
      </c>
      <c r="F980" t="s">
        <v>129</v>
      </c>
      <c r="G980" s="14">
        <v>67307</v>
      </c>
      <c r="H980" t="s">
        <v>81</v>
      </c>
      <c r="I980" t="s">
        <v>146</v>
      </c>
      <c r="J980" t="s">
        <v>1091</v>
      </c>
      <c r="K980">
        <f t="shared" si="77"/>
        <v>1</v>
      </c>
      <c r="L980">
        <f t="shared" si="78"/>
        <v>0</v>
      </c>
      <c r="M980">
        <f t="shared" si="79"/>
        <v>1</v>
      </c>
    </row>
    <row r="981" spans="1:13">
      <c r="A981">
        <v>772</v>
      </c>
      <c r="B981" s="13">
        <v>43995</v>
      </c>
      <c r="C981">
        <f t="shared" si="75"/>
        <v>2020</v>
      </c>
      <c r="D981">
        <f t="shared" si="76"/>
        <v>6</v>
      </c>
      <c r="E981" t="s">
        <v>73</v>
      </c>
      <c r="F981" t="s">
        <v>74</v>
      </c>
      <c r="G981" s="14">
        <v>77895</v>
      </c>
      <c r="H981" t="s">
        <v>53</v>
      </c>
      <c r="I981" t="s">
        <v>120</v>
      </c>
      <c r="J981" t="s">
        <v>1092</v>
      </c>
      <c r="K981">
        <f t="shared" si="77"/>
        <v>1</v>
      </c>
      <c r="L981">
        <f t="shared" si="78"/>
        <v>0</v>
      </c>
      <c r="M981">
        <f t="shared" si="79"/>
        <v>1</v>
      </c>
    </row>
    <row r="982" spans="1:13">
      <c r="A982">
        <v>846</v>
      </c>
      <c r="B982" s="13">
        <v>43995</v>
      </c>
      <c r="C982">
        <f t="shared" si="75"/>
        <v>2020</v>
      </c>
      <c r="D982">
        <f t="shared" si="76"/>
        <v>6</v>
      </c>
      <c r="E982" t="s">
        <v>38</v>
      </c>
      <c r="F982" t="s">
        <v>126</v>
      </c>
      <c r="G982" s="14">
        <v>76092</v>
      </c>
      <c r="H982" t="s">
        <v>57</v>
      </c>
      <c r="I982" t="s">
        <v>58</v>
      </c>
      <c r="J982" t="s">
        <v>1093</v>
      </c>
      <c r="K982">
        <f t="shared" si="77"/>
        <v>1</v>
      </c>
      <c r="L982">
        <f t="shared" si="78"/>
        <v>0</v>
      </c>
      <c r="M982">
        <f t="shared" si="79"/>
        <v>1</v>
      </c>
    </row>
    <row r="983" spans="1:13">
      <c r="A983">
        <v>881</v>
      </c>
      <c r="B983" s="13">
        <v>43997</v>
      </c>
      <c r="C983">
        <f t="shared" si="75"/>
        <v>2020</v>
      </c>
      <c r="D983">
        <f t="shared" si="76"/>
        <v>6</v>
      </c>
      <c r="E983" t="s">
        <v>76</v>
      </c>
      <c r="F983" t="s">
        <v>110</v>
      </c>
      <c r="G983" s="14">
        <v>75798</v>
      </c>
      <c r="H983" t="s">
        <v>60</v>
      </c>
      <c r="I983" t="s">
        <v>71</v>
      </c>
      <c r="J983" t="s">
        <v>1094</v>
      </c>
      <c r="K983">
        <f t="shared" si="77"/>
        <v>1</v>
      </c>
      <c r="L983">
        <f t="shared" si="78"/>
        <v>0</v>
      </c>
      <c r="M983">
        <f t="shared" si="79"/>
        <v>1</v>
      </c>
    </row>
    <row r="984" spans="1:13">
      <c r="A984">
        <v>560</v>
      </c>
      <c r="B984" s="13">
        <v>43999</v>
      </c>
      <c r="C984">
        <f t="shared" si="75"/>
        <v>2020</v>
      </c>
      <c r="D984">
        <f t="shared" si="76"/>
        <v>6</v>
      </c>
      <c r="E984" t="s">
        <v>43</v>
      </c>
      <c r="F984" t="s">
        <v>70</v>
      </c>
      <c r="G984" s="14">
        <v>76256</v>
      </c>
      <c r="H984" t="s">
        <v>40</v>
      </c>
      <c r="I984" t="s">
        <v>98</v>
      </c>
      <c r="J984" t="s">
        <v>1095</v>
      </c>
      <c r="K984">
        <f t="shared" si="77"/>
        <v>1</v>
      </c>
      <c r="L984">
        <f t="shared" si="78"/>
        <v>0</v>
      </c>
      <c r="M984">
        <f t="shared" si="79"/>
        <v>1</v>
      </c>
    </row>
    <row r="985" spans="1:13">
      <c r="A985">
        <v>797</v>
      </c>
      <c r="B985" s="13">
        <v>44002</v>
      </c>
      <c r="C985">
        <f t="shared" si="75"/>
        <v>2020</v>
      </c>
      <c r="D985">
        <f t="shared" si="76"/>
        <v>6</v>
      </c>
      <c r="E985" t="s">
        <v>38</v>
      </c>
      <c r="F985" t="s">
        <v>126</v>
      </c>
      <c r="G985" s="14">
        <v>74284</v>
      </c>
      <c r="H985" t="s">
        <v>81</v>
      </c>
      <c r="I985" t="s">
        <v>190</v>
      </c>
      <c r="J985" t="s">
        <v>1096</v>
      </c>
      <c r="K985">
        <f t="shared" si="77"/>
        <v>1</v>
      </c>
      <c r="L985">
        <f t="shared" si="78"/>
        <v>0</v>
      </c>
      <c r="M985">
        <f t="shared" si="79"/>
        <v>1</v>
      </c>
    </row>
    <row r="986" spans="1:13">
      <c r="A986">
        <v>814</v>
      </c>
      <c r="B986" s="13">
        <v>44003</v>
      </c>
      <c r="C986">
        <f t="shared" si="75"/>
        <v>2020</v>
      </c>
      <c r="D986">
        <f t="shared" si="76"/>
        <v>6</v>
      </c>
      <c r="E986" t="s">
        <v>94</v>
      </c>
      <c r="F986" t="s">
        <v>95</v>
      </c>
      <c r="G986" s="14">
        <v>78443</v>
      </c>
      <c r="H986" t="s">
        <v>81</v>
      </c>
      <c r="I986" t="s">
        <v>108</v>
      </c>
      <c r="J986" t="s">
        <v>1097</v>
      </c>
      <c r="K986">
        <f t="shared" si="77"/>
        <v>1</v>
      </c>
      <c r="L986">
        <f t="shared" si="78"/>
        <v>0</v>
      </c>
      <c r="M986">
        <f t="shared" si="79"/>
        <v>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E9E9E"/>
  </sheetPr>
  <dimension ref="A1:S80"/>
  <sheetViews>
    <sheetView showGridLines="0" workbookViewId="0"/>
  </sheetViews>
  <sheetFormatPr defaultRowHeight="15"/>
  <cols>
    <col min="1" max="21" width="14" customWidth="1"/>
  </cols>
  <sheetData>
    <row r="1" spans="1:17">
      <c r="A1" s="15" t="s">
        <v>1098</v>
      </c>
    </row>
    <row r="3" spans="1:17">
      <c r="A3" s="16" t="s">
        <v>1099</v>
      </c>
      <c r="E3" s="16" t="s">
        <v>1100</v>
      </c>
      <c r="H3" s="16" t="s">
        <v>1101</v>
      </c>
      <c r="M3" s="16" t="s">
        <v>1102</v>
      </c>
    </row>
    <row r="4" spans="1:17">
      <c r="A4" s="17" t="s">
        <v>1103</v>
      </c>
      <c r="B4" s="17" t="s">
        <v>1104</v>
      </c>
      <c r="C4" s="17" t="s">
        <v>1101</v>
      </c>
      <c r="E4" s="17" t="s">
        <v>1105</v>
      </c>
      <c r="F4" s="17" t="s">
        <v>1106</v>
      </c>
      <c r="H4" s="17" t="s">
        <v>1107</v>
      </c>
      <c r="I4" s="17" t="s">
        <v>20</v>
      </c>
      <c r="J4" s="17" t="s">
        <v>19</v>
      </c>
      <c r="K4" s="17" t="s">
        <v>1108</v>
      </c>
      <c r="M4" s="17" t="s">
        <v>16</v>
      </c>
      <c r="N4" s="17" t="s">
        <v>1107</v>
      </c>
      <c r="O4" s="17" t="s">
        <v>20</v>
      </c>
      <c r="P4" s="17" t="s">
        <v>19</v>
      </c>
      <c r="Q4" s="17" t="s">
        <v>21</v>
      </c>
    </row>
    <row r="5" spans="1:17">
      <c r="A5" t="s">
        <v>3</v>
      </c>
      <c r="B5" t="s">
        <v>3</v>
      </c>
      <c r="C5" t="s">
        <v>6</v>
      </c>
      <c r="E5" t="s">
        <v>20</v>
      </c>
      <c r="F5">
        <f>SUMIFS(Base!$G$2:$G$986,Base!$K$2:$K$986,1)</f>
        <v>59835220.020000011</v>
      </c>
      <c r="H5" t="s">
        <v>63</v>
      </c>
      <c r="I5">
        <f>SUMIFS(Base!$G$2:$G$986,Base!$E$2:$E$986,H5,Base!$K$2:$K$986,1)</f>
        <v>4548777.6400000006</v>
      </c>
      <c r="J5">
        <f>COUNTIFS(Base!$E$2:$E$986,H5,Base!$K$2:$K$986,1)</f>
        <v>74</v>
      </c>
      <c r="K5">
        <f t="shared" ref="K5:K11" si="0">I5+ROW()/1000000</f>
        <v>4548777.6400050009</v>
      </c>
      <c r="M5">
        <v>1</v>
      </c>
      <c r="N5" t="str">
        <f t="shared" ref="N5:N11" si="1">INDEX($H$5:$H$11,MATCH(LARGE($K$5:$K$11,M5),$K$5:$K$11,0))</f>
        <v>Honda</v>
      </c>
      <c r="O5" s="18">
        <f t="shared" ref="O5:O11" si="2">INDEX($I$5:$I$11,MATCH(LARGE($K$5:$K$11,M5),$K$5:$K$11,0))</f>
        <v>11766022.199999999</v>
      </c>
      <c r="P5">
        <f t="shared" ref="P5:P11" si="3">INDEX($J$5:$J$11,MATCH(LARGE($K$5:$K$11,M5),$K$5:$K$11,0))</f>
        <v>196</v>
      </c>
      <c r="Q5" s="19">
        <f t="shared" ref="Q5:Q11" si="4">IFERROR(O5/kpi_fat,0)</f>
        <v>0.19664041004724625</v>
      </c>
    </row>
    <row r="6" spans="1:17">
      <c r="A6">
        <v>2013</v>
      </c>
      <c r="B6" t="s">
        <v>81</v>
      </c>
      <c r="C6" t="s">
        <v>63</v>
      </c>
      <c r="E6" t="s">
        <v>19</v>
      </c>
      <c r="F6">
        <f>COUNTIFS(Base!$K$2:$K$986,1)</f>
        <v>985</v>
      </c>
      <c r="H6" t="s">
        <v>38</v>
      </c>
      <c r="I6">
        <f>SUMIFS(Base!$G$2:$G$986,Base!$E$2:$E$986,H6,Base!$K$2:$K$986,1)</f>
        <v>9647941.1099999994</v>
      </c>
      <c r="J6">
        <f>COUNTIFS(Base!$E$2:$E$986,H6,Base!$K$2:$K$986,1)</f>
        <v>160</v>
      </c>
      <c r="K6">
        <f t="shared" si="0"/>
        <v>9647941.110005999</v>
      </c>
      <c r="M6">
        <v>2</v>
      </c>
      <c r="N6" t="str">
        <f t="shared" si="1"/>
        <v>Ford</v>
      </c>
      <c r="O6" s="18">
        <f t="shared" si="2"/>
        <v>11688778.029999999</v>
      </c>
      <c r="P6">
        <f t="shared" si="3"/>
        <v>193</v>
      </c>
      <c r="Q6" s="19">
        <f t="shared" si="4"/>
        <v>0.19534946184025073</v>
      </c>
    </row>
    <row r="7" spans="1:17">
      <c r="A7">
        <v>2014</v>
      </c>
      <c r="B7" t="s">
        <v>40</v>
      </c>
      <c r="C7" t="s">
        <v>38</v>
      </c>
      <c r="E7" t="s">
        <v>1109</v>
      </c>
      <c r="F7">
        <f>IFERROR(kpi_fat/kpi_qtd,0)</f>
        <v>60746.4162639594</v>
      </c>
      <c r="H7" t="s">
        <v>94</v>
      </c>
      <c r="I7">
        <f>SUMIFS(Base!$G$2:$G$986,Base!$E$2:$E$986,H7,Base!$K$2:$K$986,1)</f>
        <v>3399131.04</v>
      </c>
      <c r="J7">
        <f>COUNTIFS(Base!$E$2:$E$986,H7,Base!$K$2:$K$986,1)</f>
        <v>55</v>
      </c>
      <c r="K7">
        <f t="shared" si="0"/>
        <v>3399131.0400069999</v>
      </c>
      <c r="M7">
        <v>3</v>
      </c>
      <c r="N7" t="str">
        <f t="shared" si="1"/>
        <v>Renault</v>
      </c>
      <c r="O7" s="18">
        <f t="shared" si="2"/>
        <v>9733859</v>
      </c>
      <c r="P7">
        <f t="shared" si="3"/>
        <v>157</v>
      </c>
      <c r="Q7" s="19">
        <f t="shared" si="4"/>
        <v>0.16267775060819437</v>
      </c>
    </row>
    <row r="8" spans="1:17">
      <c r="A8">
        <v>2015</v>
      </c>
      <c r="B8" t="s">
        <v>53</v>
      </c>
      <c r="C8" t="s">
        <v>94</v>
      </c>
      <c r="E8" t="s">
        <v>1110</v>
      </c>
      <c r="F8">
        <f>SUMIFS(Base!$G$2:$G$986,Base!$L$2:$L$986,1)</f>
        <v>0</v>
      </c>
      <c r="H8" t="s">
        <v>76</v>
      </c>
      <c r="I8">
        <f>SUMIFS(Base!$G$2:$G$986,Base!$E$2:$E$986,H8,Base!$K$2:$K$986,1)</f>
        <v>11688778.029999999</v>
      </c>
      <c r="J8">
        <f>COUNTIFS(Base!$E$2:$E$986,H8,Base!$K$2:$K$986,1)</f>
        <v>193</v>
      </c>
      <c r="K8">
        <f t="shared" si="0"/>
        <v>11688778.030007999</v>
      </c>
      <c r="M8">
        <v>4</v>
      </c>
      <c r="N8" t="str">
        <f t="shared" si="1"/>
        <v>Chevrolet</v>
      </c>
      <c r="O8" s="18">
        <f t="shared" si="2"/>
        <v>9647941.1099999994</v>
      </c>
      <c r="P8">
        <f t="shared" si="3"/>
        <v>160</v>
      </c>
      <c r="Q8" s="19">
        <f t="shared" si="4"/>
        <v>0.16124184229246857</v>
      </c>
    </row>
    <row r="9" spans="1:17">
      <c r="A9">
        <v>2016</v>
      </c>
      <c r="B9" t="s">
        <v>57</v>
      </c>
      <c r="C9" t="s">
        <v>76</v>
      </c>
      <c r="E9" t="s">
        <v>1111</v>
      </c>
      <c r="F9" t="str">
        <f>IF(OR(sel_ano="Todos",kpi_fat_ant=0),"",kpi_fat/kpi_fat_ant-1)</f>
        <v/>
      </c>
      <c r="H9" t="s">
        <v>47</v>
      </c>
      <c r="I9">
        <f>SUMIFS(Base!$G$2:$G$986,Base!$E$2:$E$986,H9,Base!$K$2:$K$986,1)</f>
        <v>11766022.199999999</v>
      </c>
      <c r="J9">
        <f>COUNTIFS(Base!$E$2:$E$986,H9,Base!$K$2:$K$986,1)</f>
        <v>196</v>
      </c>
      <c r="K9">
        <f t="shared" si="0"/>
        <v>11766022.200009</v>
      </c>
      <c r="M9">
        <v>5</v>
      </c>
      <c r="N9" t="str">
        <f t="shared" si="1"/>
        <v>Volkswagen</v>
      </c>
      <c r="O9" s="18">
        <f t="shared" si="2"/>
        <v>9050711</v>
      </c>
      <c r="P9">
        <f t="shared" si="3"/>
        <v>150</v>
      </c>
      <c r="Q9" s="19">
        <f t="shared" si="4"/>
        <v>0.15126059529779931</v>
      </c>
    </row>
    <row r="10" spans="1:17">
      <c r="A10">
        <v>2017</v>
      </c>
      <c r="B10" t="s">
        <v>60</v>
      </c>
      <c r="C10" t="s">
        <v>47</v>
      </c>
      <c r="H10" t="s">
        <v>73</v>
      </c>
      <c r="I10">
        <f>SUMIFS(Base!$G$2:$G$986,Base!$E$2:$E$986,H10,Base!$K$2:$K$986,1)</f>
        <v>9733859</v>
      </c>
      <c r="J10">
        <f>COUNTIFS(Base!$E$2:$E$986,H10,Base!$K$2:$K$986,1)</f>
        <v>157</v>
      </c>
      <c r="K10">
        <f t="shared" si="0"/>
        <v>9733859.0000100005</v>
      </c>
      <c r="M10">
        <v>6</v>
      </c>
      <c r="N10" t="str">
        <f t="shared" si="1"/>
        <v>BMW</v>
      </c>
      <c r="O10" s="18">
        <f t="shared" si="2"/>
        <v>4548777.6400000006</v>
      </c>
      <c r="P10">
        <f t="shared" si="3"/>
        <v>74</v>
      </c>
      <c r="Q10" s="19">
        <f t="shared" si="4"/>
        <v>7.6021741684572486E-2</v>
      </c>
    </row>
    <row r="11" spans="1:17">
      <c r="A11">
        <v>2018</v>
      </c>
      <c r="B11" t="s">
        <v>49</v>
      </c>
      <c r="C11" t="s">
        <v>73</v>
      </c>
      <c r="H11" t="s">
        <v>43</v>
      </c>
      <c r="I11">
        <f>SUMIFS(Base!$G$2:$G$986,Base!$E$2:$E$986,H11,Base!$K$2:$K$986,1)</f>
        <v>9050711</v>
      </c>
      <c r="J11">
        <f>COUNTIFS(Base!$E$2:$E$986,H11,Base!$K$2:$K$986,1)</f>
        <v>150</v>
      </c>
      <c r="K11">
        <f t="shared" si="0"/>
        <v>9050711.0000110008</v>
      </c>
      <c r="M11">
        <v>7</v>
      </c>
      <c r="N11" t="str">
        <f t="shared" si="1"/>
        <v>Ferrari</v>
      </c>
      <c r="O11" s="18">
        <f t="shared" si="2"/>
        <v>3399131.04</v>
      </c>
      <c r="P11">
        <f t="shared" si="3"/>
        <v>55</v>
      </c>
      <c r="Q11" s="19">
        <f t="shared" si="4"/>
        <v>5.6808198229468122E-2</v>
      </c>
    </row>
    <row r="12" spans="1:17">
      <c r="A12">
        <v>2019</v>
      </c>
      <c r="C12" t="s">
        <v>43</v>
      </c>
    </row>
    <row r="13" spans="1:17">
      <c r="A13">
        <v>2020</v>
      </c>
    </row>
    <row r="14" spans="1:17">
      <c r="H14" s="16" t="s">
        <v>1104</v>
      </c>
      <c r="M14" s="16" t="s">
        <v>1112</v>
      </c>
    </row>
    <row r="15" spans="1:17">
      <c r="H15" s="17" t="s">
        <v>1107</v>
      </c>
      <c r="I15" s="17" t="s">
        <v>20</v>
      </c>
      <c r="J15" s="17" t="s">
        <v>19</v>
      </c>
      <c r="K15" s="17" t="s">
        <v>1108</v>
      </c>
      <c r="M15" s="17" t="s">
        <v>16</v>
      </c>
      <c r="N15" s="17" t="s">
        <v>1107</v>
      </c>
      <c r="O15" s="17" t="s">
        <v>20</v>
      </c>
      <c r="P15" s="17" t="s">
        <v>19</v>
      </c>
      <c r="Q15" s="17" t="s">
        <v>21</v>
      </c>
    </row>
    <row r="16" spans="1:17">
      <c r="A16" s="16" t="s">
        <v>1113</v>
      </c>
      <c r="H16" t="s">
        <v>81</v>
      </c>
      <c r="I16">
        <f>SUMIFS(Base!$G$2:$G$986,Base!$H$2:$H$986,H16,Base!$K$2:$K$986,1)</f>
        <v>7363671.2199999997</v>
      </c>
      <c r="J16">
        <f>COUNTIFS(Base!$H$2:$H$986,H16,Base!$K$2:$K$986,1)</f>
        <v>120</v>
      </c>
      <c r="K16">
        <f t="shared" ref="K16:K21" si="5">I16+ROW()/1000000</f>
        <v>7363671.2200159999</v>
      </c>
      <c r="M16">
        <v>1</v>
      </c>
      <c r="N16" t="str">
        <f t="shared" ref="N16:N21" si="6">INDEX($H$16:$H$21,MATCH(LARGE($K$16:$K$21,M16),$K$16:$K$21,0))</f>
        <v>Brasil</v>
      </c>
      <c r="O16" s="18">
        <f t="shared" ref="O16:O21" si="7">INDEX($I$16:$I$21,MATCH(LARGE($K$16:$K$21,M16),$K$16:$K$21,0))</f>
        <v>14599391.58</v>
      </c>
      <c r="P16">
        <f t="shared" ref="P16:P21" si="8">INDEX($J$16:$J$21,MATCH(LARGE($K$16:$K$21,M16),$K$16:$K$21,0))</f>
        <v>235</v>
      </c>
      <c r="Q16" s="19">
        <f t="shared" ref="Q16:Q21" si="9">IFERROR(O16/kpi_fat,0)</f>
        <v>0.24399327979608218</v>
      </c>
    </row>
    <row r="17" spans="1:19">
      <c r="A17" s="17" t="s">
        <v>30</v>
      </c>
      <c r="B17" s="17" t="s">
        <v>1114</v>
      </c>
      <c r="C17" s="17" t="s">
        <v>1115</v>
      </c>
      <c r="D17" s="17" t="s">
        <v>1116</v>
      </c>
      <c r="H17" t="s">
        <v>40</v>
      </c>
      <c r="I17">
        <f>SUMIFS(Base!$G$2:$G$986,Base!$H$2:$H$986,H17,Base!$K$2:$K$986,1)</f>
        <v>14599391.58</v>
      </c>
      <c r="J17">
        <f>COUNTIFS(Base!$H$2:$H$986,H17,Base!$K$2:$K$986,1)</f>
        <v>235</v>
      </c>
      <c r="K17">
        <f t="shared" si="5"/>
        <v>14599391.580017</v>
      </c>
      <c r="M17">
        <v>2</v>
      </c>
      <c r="N17" t="str">
        <f t="shared" si="6"/>
        <v>França</v>
      </c>
      <c r="O17" s="18">
        <f t="shared" si="7"/>
        <v>11590536.199999999</v>
      </c>
      <c r="P17">
        <f t="shared" si="8"/>
        <v>189</v>
      </c>
      <c r="Q17" s="19">
        <f t="shared" si="9"/>
        <v>0.19370758887701667</v>
      </c>
    </row>
    <row r="18" spans="1:19">
      <c r="A18" t="s">
        <v>1117</v>
      </c>
      <c r="B18" s="18">
        <f>SUMIFS(Base!$G$2:$G$986,Base!$D$2:$D$986,D18,Base!$K$2:$K$986,1)</f>
        <v>5767009.3900000006</v>
      </c>
      <c r="C18" s="18" t="e">
        <f>IF(sel_ano="Todos",NA(),SUMIFS(Base!$G$2:$G$986,Base!$D$2:$D$986,D18,Base!$L$2:$L$986,1))</f>
        <v>#N/A</v>
      </c>
      <c r="D18">
        <v>1</v>
      </c>
      <c r="H18" t="s">
        <v>53</v>
      </c>
      <c r="I18">
        <f>SUMIFS(Base!$G$2:$G$986,Base!$H$2:$H$986,H18,Base!$K$2:$K$986,1)</f>
        <v>10700013</v>
      </c>
      <c r="J18">
        <f>COUNTIFS(Base!$H$2:$H$986,H18,Base!$K$2:$K$986,1)</f>
        <v>181</v>
      </c>
      <c r="K18">
        <f t="shared" si="5"/>
        <v>10700013.000018001</v>
      </c>
      <c r="M18">
        <v>3</v>
      </c>
      <c r="N18" t="str">
        <f t="shared" si="6"/>
        <v>China</v>
      </c>
      <c r="O18" s="18">
        <f t="shared" si="7"/>
        <v>10700013</v>
      </c>
      <c r="P18">
        <f t="shared" si="8"/>
        <v>181</v>
      </c>
      <c r="Q18" s="19">
        <f t="shared" si="9"/>
        <v>0.17882466207065847</v>
      </c>
    </row>
    <row r="19" spans="1:19">
      <c r="A19" t="s">
        <v>1118</v>
      </c>
      <c r="B19" s="18">
        <f>SUMIFS(Base!$G$2:$G$986,Base!$D$2:$D$986,D19,Base!$K$2:$K$986,1)</f>
        <v>4726110</v>
      </c>
      <c r="C19" s="18" t="e">
        <f>IF(sel_ano="Todos",NA(),SUMIFS(Base!$G$2:$G$986,Base!$D$2:$D$986,D19,Base!$L$2:$L$986,1))</f>
        <v>#N/A</v>
      </c>
      <c r="D19">
        <v>2</v>
      </c>
      <c r="H19" t="s">
        <v>57</v>
      </c>
      <c r="I19">
        <f>SUMIFS(Base!$G$2:$G$986,Base!$H$2:$H$986,H19,Base!$K$2:$K$986,1)</f>
        <v>7992626.7400000002</v>
      </c>
      <c r="J19">
        <f>COUNTIFS(Base!$H$2:$H$986,H19,Base!$K$2:$K$986,1)</f>
        <v>131</v>
      </c>
      <c r="K19">
        <f t="shared" si="5"/>
        <v>7992626.7400190001</v>
      </c>
      <c r="M19">
        <v>4</v>
      </c>
      <c r="N19" t="str">
        <f t="shared" si="6"/>
        <v>Estados Unidos</v>
      </c>
      <c r="O19" s="18">
        <f t="shared" si="7"/>
        <v>7992626.7400000002</v>
      </c>
      <c r="P19">
        <f t="shared" si="8"/>
        <v>131</v>
      </c>
      <c r="Q19" s="19">
        <f t="shared" si="9"/>
        <v>0.13357729339556959</v>
      </c>
    </row>
    <row r="20" spans="1:19">
      <c r="A20" t="s">
        <v>1119</v>
      </c>
      <c r="B20" s="18">
        <f>SUMIFS(Base!$G$2:$G$986,Base!$D$2:$D$986,D20,Base!$K$2:$K$986,1)</f>
        <v>3504368.32</v>
      </c>
      <c r="C20" s="18" t="e">
        <f>IF(sel_ano="Todos",NA(),SUMIFS(Base!$G$2:$G$986,Base!$D$2:$D$986,D20,Base!$L$2:$L$986,1))</f>
        <v>#N/A</v>
      </c>
      <c r="D20">
        <v>3</v>
      </c>
      <c r="H20" t="s">
        <v>60</v>
      </c>
      <c r="I20">
        <f>SUMIFS(Base!$G$2:$G$986,Base!$H$2:$H$986,H20,Base!$K$2:$K$986,1)</f>
        <v>11590536.199999999</v>
      </c>
      <c r="J20">
        <f>COUNTIFS(Base!$H$2:$H$986,H20,Base!$K$2:$K$986,1)</f>
        <v>189</v>
      </c>
      <c r="K20">
        <f t="shared" si="5"/>
        <v>11590536.200019998</v>
      </c>
      <c r="M20">
        <v>5</v>
      </c>
      <c r="N20" t="str">
        <f t="shared" si="6"/>
        <v>Japão</v>
      </c>
      <c r="O20" s="18">
        <f t="shared" si="7"/>
        <v>7588981.2800000012</v>
      </c>
      <c r="P20">
        <f t="shared" si="8"/>
        <v>129</v>
      </c>
      <c r="Q20" s="19">
        <f t="shared" si="9"/>
        <v>0.12683134243449548</v>
      </c>
    </row>
    <row r="21" spans="1:19">
      <c r="A21" t="s">
        <v>1120</v>
      </c>
      <c r="B21" s="18">
        <f>SUMIFS(Base!$G$2:$G$986,Base!$D$2:$D$986,D21,Base!$K$2:$K$986,1)</f>
        <v>4926338</v>
      </c>
      <c r="C21" s="18" t="e">
        <f>IF(sel_ano="Todos",NA(),SUMIFS(Base!$G$2:$G$986,Base!$D$2:$D$986,D21,Base!$L$2:$L$986,1))</f>
        <v>#N/A</v>
      </c>
      <c r="D21">
        <v>4</v>
      </c>
      <c r="H21" t="s">
        <v>49</v>
      </c>
      <c r="I21">
        <f>SUMIFS(Base!$G$2:$G$986,Base!$H$2:$H$986,H21,Base!$K$2:$K$986,1)</f>
        <v>7588981.2800000012</v>
      </c>
      <c r="J21">
        <f>COUNTIFS(Base!$H$2:$H$986,H21,Base!$K$2:$K$986,1)</f>
        <v>129</v>
      </c>
      <c r="K21">
        <f t="shared" si="5"/>
        <v>7588981.2800210016</v>
      </c>
      <c r="M21">
        <v>6</v>
      </c>
      <c r="N21" t="str">
        <f t="shared" si="6"/>
        <v>Argentina</v>
      </c>
      <c r="O21" s="18">
        <f t="shared" si="7"/>
        <v>7363671.2199999997</v>
      </c>
      <c r="P21">
        <f t="shared" si="8"/>
        <v>120</v>
      </c>
      <c r="Q21" s="19">
        <f t="shared" si="9"/>
        <v>0.12306583342617745</v>
      </c>
    </row>
    <row r="22" spans="1:19">
      <c r="A22" t="s">
        <v>1121</v>
      </c>
      <c r="B22" s="18">
        <f>SUMIFS(Base!$G$2:$G$986,Base!$D$2:$D$986,D22,Base!$K$2:$K$986,1)</f>
        <v>5236553.8400000008</v>
      </c>
      <c r="C22" s="18" t="e">
        <f>IF(sel_ano="Todos",NA(),SUMIFS(Base!$G$2:$G$986,Base!$D$2:$D$986,D22,Base!$L$2:$L$986,1))</f>
        <v>#N/A</v>
      </c>
      <c r="D22">
        <v>5</v>
      </c>
    </row>
    <row r="23" spans="1:19">
      <c r="A23" t="s">
        <v>1122</v>
      </c>
      <c r="B23" s="18">
        <f>SUMIFS(Base!$G$2:$G$986,Base!$D$2:$D$986,D23,Base!$K$2:$K$986,1)</f>
        <v>4704102.8499999996</v>
      </c>
      <c r="C23" s="18" t="e">
        <f>IF(sel_ano="Todos",NA(),SUMIFS(Base!$G$2:$G$986,Base!$D$2:$D$986,D23,Base!$L$2:$L$986,1))</f>
        <v>#N/A</v>
      </c>
      <c r="D23">
        <v>6</v>
      </c>
    </row>
    <row r="24" spans="1:19">
      <c r="A24" t="s">
        <v>1123</v>
      </c>
      <c r="B24" s="18">
        <f>SUMIFS(Base!$G$2:$G$986,Base!$D$2:$D$986,D24,Base!$K$2:$K$986,1)</f>
        <v>5653561.4700000007</v>
      </c>
      <c r="C24" s="18" t="e">
        <f>IF(sel_ano="Todos",NA(),SUMIFS(Base!$G$2:$G$986,Base!$D$2:$D$986,D24,Base!$L$2:$L$986,1))</f>
        <v>#N/A</v>
      </c>
      <c r="D24">
        <v>7</v>
      </c>
    </row>
    <row r="25" spans="1:19">
      <c r="A25" t="s">
        <v>1124</v>
      </c>
      <c r="B25" s="18">
        <f>SUMIFS(Base!$G$2:$G$986,Base!$D$2:$D$986,D25,Base!$K$2:$K$986,1)</f>
        <v>5349954.7699999996</v>
      </c>
      <c r="C25" s="18" t="e">
        <f>IF(sel_ano="Todos",NA(),SUMIFS(Base!$G$2:$G$986,Base!$D$2:$D$986,D25,Base!$L$2:$L$986,1))</f>
        <v>#N/A</v>
      </c>
      <c r="D25">
        <v>8</v>
      </c>
      <c r="H25" s="16" t="s">
        <v>1125</v>
      </c>
      <c r="N25" s="16" t="s">
        <v>1126</v>
      </c>
    </row>
    <row r="26" spans="1:19">
      <c r="A26" t="s">
        <v>1127</v>
      </c>
      <c r="B26" s="18">
        <f>SUMIFS(Base!$G$2:$G$986,Base!$D$2:$D$986,D26,Base!$K$2:$K$986,1)</f>
        <v>4235811</v>
      </c>
      <c r="C26" s="18" t="e">
        <f>IF(sel_ano="Todos",NA(),SUMIFS(Base!$G$2:$G$986,Base!$D$2:$D$986,D26,Base!$L$2:$L$986,1))</f>
        <v>#N/A</v>
      </c>
      <c r="D26">
        <v>9</v>
      </c>
      <c r="H26" s="17" t="s">
        <v>1107</v>
      </c>
      <c r="I26" s="17" t="s">
        <v>20</v>
      </c>
      <c r="J26" s="17" t="s">
        <v>19</v>
      </c>
      <c r="K26" s="17" t="s">
        <v>1108</v>
      </c>
      <c r="L26" s="17" t="s">
        <v>18</v>
      </c>
      <c r="N26" s="17" t="s">
        <v>16</v>
      </c>
      <c r="O26" s="17" t="s">
        <v>1107</v>
      </c>
      <c r="P26" s="17" t="s">
        <v>20</v>
      </c>
      <c r="Q26" s="17" t="s">
        <v>19</v>
      </c>
      <c r="R26" s="17" t="s">
        <v>21</v>
      </c>
      <c r="S26" s="17" t="s">
        <v>18</v>
      </c>
    </row>
    <row r="27" spans="1:19">
      <c r="A27" t="s">
        <v>1128</v>
      </c>
      <c r="B27" s="18">
        <f>SUMIFS(Base!$G$2:$G$986,Base!$D$2:$D$986,D27,Base!$K$2:$K$986,1)</f>
        <v>4582455</v>
      </c>
      <c r="C27" s="18" t="e">
        <f>IF(sel_ano="Todos",NA(),SUMIFS(Base!$G$2:$G$986,Base!$D$2:$D$986,D27,Base!$L$2:$L$986,1))</f>
        <v>#N/A</v>
      </c>
      <c r="D27">
        <v>10</v>
      </c>
      <c r="H27" t="s">
        <v>652</v>
      </c>
      <c r="I27">
        <f>SUMIFS(Base!$G$2:$G$986,Base!$F$2:$F$986,H27,Base!$K$2:$K$986,1)</f>
        <v>387954</v>
      </c>
      <c r="J27">
        <f>COUNTIFS(Base!$F$2:$F$986,H27,Base!$K$2:$K$986,1)</f>
        <v>6</v>
      </c>
      <c r="K27">
        <f t="shared" ref="K27:K58" si="10">I27+ROW()/1000000</f>
        <v>387954.00002699997</v>
      </c>
      <c r="L27" t="s">
        <v>94</v>
      </c>
      <c r="N27">
        <v>1</v>
      </c>
      <c r="O27" t="str">
        <f t="shared" ref="O27:O58" si="11">INDEX($H$27:$H$80,MATCH(LARGE($K$27:$K$80,N27),$K$27:$K$80,0))</f>
        <v>Sandero</v>
      </c>
      <c r="P27" s="18">
        <f t="shared" ref="P27:P58" si="12">INDEX($I$27:$I$80,MATCH(LARGE($K$27:$K$80,N27),$K$27:$K$80,0))</f>
        <v>2749726</v>
      </c>
      <c r="Q27">
        <f t="shared" ref="Q27:Q58" si="13">INDEX($J$27:$J$80,MATCH(LARGE($K$27:$K$80,N27),$K$27:$K$80,0))</f>
        <v>43</v>
      </c>
      <c r="R27" s="19">
        <f t="shared" ref="R27:R58" si="14">IFERROR(P27/kpi_fat,0)</f>
        <v>4.5954974329181039E-2</v>
      </c>
      <c r="S27" t="str">
        <f t="shared" ref="S27:S58" si="15">INDEX($L$27:$L$80,MATCH(LARGE($K$27:$K$80,N27),$K$27:$K$80,0))</f>
        <v>Renault</v>
      </c>
    </row>
    <row r="28" spans="1:19">
      <c r="A28" t="s">
        <v>1129</v>
      </c>
      <c r="B28" s="18">
        <f>SUMIFS(Base!$G$2:$G$986,Base!$D$2:$D$986,D28,Base!$K$2:$K$986,1)</f>
        <v>5057183.87</v>
      </c>
      <c r="C28" s="18" t="e">
        <f>IF(sel_ano="Todos",NA(),SUMIFS(Base!$G$2:$G$986,Base!$D$2:$D$986,D28,Base!$L$2:$L$986,1))</f>
        <v>#N/A</v>
      </c>
      <c r="D28">
        <v>11</v>
      </c>
      <c r="H28" t="s">
        <v>186</v>
      </c>
      <c r="I28">
        <f>SUMIFS(Base!$G$2:$G$986,Base!$F$2:$F$986,H28,Base!$K$2:$K$986,1)</f>
        <v>259632</v>
      </c>
      <c r="J28">
        <f>COUNTIFS(Base!$F$2:$F$986,H28,Base!$K$2:$K$986,1)</f>
        <v>5</v>
      </c>
      <c r="K28">
        <f t="shared" si="10"/>
        <v>259632.00002800001</v>
      </c>
      <c r="L28" t="s">
        <v>94</v>
      </c>
      <c r="N28">
        <v>2</v>
      </c>
      <c r="O28" t="str">
        <f t="shared" si="11"/>
        <v>Clio</v>
      </c>
      <c r="P28" s="18">
        <f t="shared" si="12"/>
        <v>2291216</v>
      </c>
      <c r="Q28">
        <f t="shared" si="13"/>
        <v>37</v>
      </c>
      <c r="R28" s="19">
        <f t="shared" si="14"/>
        <v>3.8292096180713595E-2</v>
      </c>
      <c r="S28" t="str">
        <f t="shared" si="15"/>
        <v>Renault</v>
      </c>
    </row>
    <row r="29" spans="1:19">
      <c r="A29" t="s">
        <v>1130</v>
      </c>
      <c r="B29" s="18">
        <f>SUMIFS(Base!$G$2:$G$986,Base!$D$2:$D$986,D29,Base!$K$2:$K$986,1)</f>
        <v>6091771.5099999998</v>
      </c>
      <c r="C29" s="18" t="e">
        <f>IF(sel_ano="Todos",NA(),SUMIFS(Base!$G$2:$G$986,Base!$D$2:$D$986,D29,Base!$L$2:$L$986,1))</f>
        <v>#N/A</v>
      </c>
      <c r="D29">
        <v>12</v>
      </c>
      <c r="H29" t="s">
        <v>52</v>
      </c>
      <c r="I29">
        <f>SUMIFS(Base!$G$2:$G$986,Base!$F$2:$F$986,H29,Base!$K$2:$K$986,1)</f>
        <v>2028150.13</v>
      </c>
      <c r="J29">
        <f>COUNTIFS(Base!$F$2:$F$986,H29,Base!$K$2:$K$986,1)</f>
        <v>33</v>
      </c>
      <c r="K29">
        <f t="shared" si="10"/>
        <v>2028150.1300289999</v>
      </c>
      <c r="L29" t="s">
        <v>47</v>
      </c>
      <c r="N29">
        <v>3</v>
      </c>
      <c r="O29" t="str">
        <f t="shared" si="11"/>
        <v>Ranger</v>
      </c>
      <c r="P29" s="18">
        <f t="shared" si="12"/>
        <v>2245733</v>
      </c>
      <c r="Q29">
        <f t="shared" si="13"/>
        <v>38</v>
      </c>
      <c r="R29" s="19">
        <f t="shared" si="14"/>
        <v>3.7531958589763027E-2</v>
      </c>
      <c r="S29" t="str">
        <f t="shared" si="15"/>
        <v>Ford</v>
      </c>
    </row>
    <row r="30" spans="1:19">
      <c r="H30" t="s">
        <v>64</v>
      </c>
      <c r="I30">
        <f>SUMIFS(Base!$G$2:$G$986,Base!$F$2:$F$986,H30,Base!$K$2:$K$986,1)</f>
        <v>762131.21000000008</v>
      </c>
      <c r="J30">
        <f>COUNTIFS(Base!$F$2:$F$986,H30,Base!$K$2:$K$986,1)</f>
        <v>12</v>
      </c>
      <c r="K30">
        <f t="shared" si="10"/>
        <v>762131.21003000007</v>
      </c>
      <c r="L30" t="s">
        <v>63</v>
      </c>
      <c r="N30">
        <v>4</v>
      </c>
      <c r="O30" t="str">
        <f t="shared" si="11"/>
        <v>NSX</v>
      </c>
      <c r="P30" s="18">
        <f t="shared" si="12"/>
        <v>2214212.75</v>
      </c>
      <c r="Q30">
        <f t="shared" si="13"/>
        <v>36</v>
      </c>
      <c r="R30" s="19">
        <f t="shared" si="14"/>
        <v>3.7005174364862302E-2</v>
      </c>
      <c r="S30" t="str">
        <f t="shared" si="15"/>
        <v>Honda</v>
      </c>
    </row>
    <row r="31" spans="1:19">
      <c r="H31" t="s">
        <v>105</v>
      </c>
      <c r="I31">
        <f>SUMIFS(Base!$G$2:$G$986,Base!$F$2:$F$986,H31,Base!$K$2:$K$986,1)</f>
        <v>418774</v>
      </c>
      <c r="J31">
        <f>COUNTIFS(Base!$F$2:$F$986,H31,Base!$K$2:$K$986,1)</f>
        <v>7</v>
      </c>
      <c r="K31">
        <f t="shared" si="10"/>
        <v>418774.000031</v>
      </c>
      <c r="L31" t="s">
        <v>63</v>
      </c>
      <c r="N31">
        <v>5</v>
      </c>
      <c r="O31" t="str">
        <f t="shared" si="11"/>
        <v>Mustang</v>
      </c>
      <c r="P31" s="18">
        <f t="shared" si="12"/>
        <v>2163693</v>
      </c>
      <c r="Q31">
        <f t="shared" si="13"/>
        <v>36</v>
      </c>
      <c r="R31" s="19">
        <f t="shared" si="14"/>
        <v>3.6160859762474046E-2</v>
      </c>
      <c r="S31" t="str">
        <f t="shared" si="15"/>
        <v>Ford</v>
      </c>
    </row>
    <row r="32" spans="1:19">
      <c r="A32" s="16" t="s">
        <v>1131</v>
      </c>
      <c r="H32" t="s">
        <v>243</v>
      </c>
      <c r="I32">
        <f>SUMIFS(Base!$G$2:$G$986,Base!$F$2:$F$986,H32,Base!$K$2:$K$986,1)</f>
        <v>320788</v>
      </c>
      <c r="J32">
        <f>COUNTIFS(Base!$F$2:$F$986,H32,Base!$K$2:$K$986,1)</f>
        <v>5</v>
      </c>
      <c r="K32">
        <f t="shared" si="10"/>
        <v>320788.00003200001</v>
      </c>
      <c r="L32" t="s">
        <v>63</v>
      </c>
      <c r="N32">
        <v>6</v>
      </c>
      <c r="O32" t="str">
        <f t="shared" si="11"/>
        <v>Accord</v>
      </c>
      <c r="P32" s="18">
        <f t="shared" si="12"/>
        <v>2028150.13</v>
      </c>
      <c r="Q32">
        <f t="shared" si="13"/>
        <v>33</v>
      </c>
      <c r="R32" s="19">
        <f t="shared" si="14"/>
        <v>3.3895590746087133E-2</v>
      </c>
      <c r="S32" t="str">
        <f t="shared" si="15"/>
        <v>Honda</v>
      </c>
    </row>
    <row r="33" spans="1:19">
      <c r="A33" s="17" t="s">
        <v>29</v>
      </c>
      <c r="B33" s="17" t="s">
        <v>20</v>
      </c>
      <c r="C33" s="17" t="s">
        <v>19</v>
      </c>
      <c r="H33" t="s">
        <v>155</v>
      </c>
      <c r="I33">
        <f>SUMIFS(Base!$G$2:$G$986,Base!$F$2:$F$986,H33,Base!$K$2:$K$986,1)</f>
        <v>1530281</v>
      </c>
      <c r="J33">
        <f>COUNTIFS(Base!$F$2:$F$986,H33,Base!$K$2:$K$986,1)</f>
        <v>26</v>
      </c>
      <c r="K33">
        <f t="shared" si="10"/>
        <v>1530281.000033</v>
      </c>
      <c r="L33" t="s">
        <v>47</v>
      </c>
      <c r="N33">
        <v>7</v>
      </c>
      <c r="O33" t="str">
        <f t="shared" si="11"/>
        <v>Prisma</v>
      </c>
      <c r="P33" s="18">
        <f t="shared" si="12"/>
        <v>1981776</v>
      </c>
      <c r="Q33">
        <f t="shared" si="13"/>
        <v>33</v>
      </c>
      <c r="R33" s="19">
        <f t="shared" si="14"/>
        <v>3.3120560087145805E-2</v>
      </c>
      <c r="S33" t="str">
        <f t="shared" si="15"/>
        <v>Chevrolet</v>
      </c>
    </row>
    <row r="34" spans="1:19">
      <c r="A34" t="s">
        <v>1132</v>
      </c>
      <c r="B34" s="18">
        <f>SUMIFS(Base!$G$2:$G$986,Base!$C$2:$C$986,2013,Base!$M$2:$M$986,1)</f>
        <v>7116424.5700000003</v>
      </c>
      <c r="C34">
        <f>COUNTIFS(Base!$C$2:$C$986,2013,Base!$M$2:$M$986,1)</f>
        <v>115</v>
      </c>
      <c r="H34" t="s">
        <v>126</v>
      </c>
      <c r="I34">
        <f>SUMIFS(Base!$G$2:$G$986,Base!$F$2:$F$986,H34,Base!$K$2:$K$986,1)</f>
        <v>1453308.3399999999</v>
      </c>
      <c r="J34">
        <f>COUNTIFS(Base!$F$2:$F$986,H34,Base!$K$2:$K$986,1)</f>
        <v>23</v>
      </c>
      <c r="K34">
        <f t="shared" si="10"/>
        <v>1453308.3400339999</v>
      </c>
      <c r="L34" t="s">
        <v>38</v>
      </c>
      <c r="N34">
        <v>8</v>
      </c>
      <c r="O34" t="str">
        <f t="shared" si="11"/>
        <v>HR-V</v>
      </c>
      <c r="P34" s="18">
        <f t="shared" si="12"/>
        <v>1972500</v>
      </c>
      <c r="Q34">
        <f t="shared" si="13"/>
        <v>33</v>
      </c>
      <c r="R34" s="19">
        <f t="shared" si="14"/>
        <v>3.2965534334806305E-2</v>
      </c>
      <c r="S34" t="str">
        <f t="shared" si="15"/>
        <v>Honda</v>
      </c>
    </row>
    <row r="35" spans="1:19">
      <c r="A35" t="s">
        <v>1133</v>
      </c>
      <c r="B35" s="18">
        <f>SUMIFS(Base!$G$2:$G$986,Base!$C$2:$C$986,2014,Base!$M$2:$M$986,1)</f>
        <v>7841789.29</v>
      </c>
      <c r="C35">
        <f>COUNTIFS(Base!$C$2:$C$986,2014,Base!$M$2:$M$986,1)</f>
        <v>128</v>
      </c>
      <c r="H35" t="s">
        <v>136</v>
      </c>
      <c r="I35">
        <f>SUMIFS(Base!$G$2:$G$986,Base!$F$2:$F$986,H35,Base!$K$2:$K$986,1)</f>
        <v>1554147.32</v>
      </c>
      <c r="J35">
        <f>COUNTIFS(Base!$F$2:$F$986,H35,Base!$K$2:$K$986,1)</f>
        <v>27</v>
      </c>
      <c r="K35">
        <f t="shared" si="10"/>
        <v>1554147.3200350001</v>
      </c>
      <c r="L35" t="s">
        <v>47</v>
      </c>
      <c r="N35">
        <v>9</v>
      </c>
      <c r="O35" t="str">
        <f t="shared" si="11"/>
        <v>Golf</v>
      </c>
      <c r="P35" s="18">
        <f t="shared" si="12"/>
        <v>1932673</v>
      </c>
      <c r="Q35">
        <f t="shared" si="13"/>
        <v>32</v>
      </c>
      <c r="R35" s="19">
        <f t="shared" si="14"/>
        <v>3.2299923011129585E-2</v>
      </c>
      <c r="S35" t="str">
        <f t="shared" si="15"/>
        <v>Volkswagen</v>
      </c>
    </row>
    <row r="36" spans="1:19">
      <c r="A36" t="s">
        <v>1134</v>
      </c>
      <c r="B36" s="18">
        <f>SUMIFS(Base!$G$2:$G$986,Base!$C$2:$C$986,2015,Base!$M$2:$M$986,1)</f>
        <v>7666331.29</v>
      </c>
      <c r="C36">
        <f>COUNTIFS(Base!$C$2:$C$986,2015,Base!$M$2:$M$986,1)</f>
        <v>127</v>
      </c>
      <c r="H36" t="s">
        <v>182</v>
      </c>
      <c r="I36">
        <f>SUMIFS(Base!$G$2:$G$986,Base!$F$2:$F$986,H36,Base!$K$2:$K$986,1)</f>
        <v>657166</v>
      </c>
      <c r="J36">
        <f>COUNTIFS(Base!$F$2:$F$986,H36,Base!$K$2:$K$986,1)</f>
        <v>10</v>
      </c>
      <c r="K36">
        <f t="shared" si="10"/>
        <v>657166.00003600004</v>
      </c>
      <c r="L36" t="s">
        <v>47</v>
      </c>
      <c r="N36">
        <v>10</v>
      </c>
      <c r="O36" t="str">
        <f t="shared" si="11"/>
        <v>Ecosport</v>
      </c>
      <c r="P36" s="18">
        <f t="shared" si="12"/>
        <v>1917430.1</v>
      </c>
      <c r="Q36">
        <f t="shared" si="13"/>
        <v>33</v>
      </c>
      <c r="R36" s="19">
        <f t="shared" si="14"/>
        <v>3.2045175055077868E-2</v>
      </c>
      <c r="S36" t="str">
        <f t="shared" si="15"/>
        <v>Ford</v>
      </c>
    </row>
    <row r="37" spans="1:19">
      <c r="A37" t="s">
        <v>1135</v>
      </c>
      <c r="B37" s="18">
        <f>SUMIFS(Base!$G$2:$G$986,Base!$C$2:$C$986,2016,Base!$M$2:$M$986,1)</f>
        <v>7811610.1899999985</v>
      </c>
      <c r="C37">
        <f>COUNTIFS(Base!$C$2:$C$986,2016,Base!$M$2:$M$986,1)</f>
        <v>130</v>
      </c>
      <c r="H37" t="s">
        <v>74</v>
      </c>
      <c r="I37">
        <f>SUMIFS(Base!$G$2:$G$986,Base!$F$2:$F$986,H37,Base!$K$2:$K$986,1)</f>
        <v>2291216</v>
      </c>
      <c r="J37">
        <f>COUNTIFS(Base!$F$2:$F$986,H37,Base!$K$2:$K$986,1)</f>
        <v>37</v>
      </c>
      <c r="K37">
        <f t="shared" si="10"/>
        <v>2291216.000037</v>
      </c>
      <c r="L37" t="s">
        <v>73</v>
      </c>
      <c r="N37">
        <v>11</v>
      </c>
      <c r="O37" t="str">
        <f t="shared" si="11"/>
        <v>Fusion</v>
      </c>
      <c r="P37" s="18">
        <f t="shared" si="12"/>
        <v>1755800</v>
      </c>
      <c r="Q37">
        <f t="shared" si="13"/>
        <v>30</v>
      </c>
      <c r="R37" s="19">
        <f t="shared" si="14"/>
        <v>2.9343921513334811E-2</v>
      </c>
      <c r="S37" t="str">
        <f t="shared" si="15"/>
        <v>Ford</v>
      </c>
    </row>
    <row r="38" spans="1:19">
      <c r="A38" t="s">
        <v>1136</v>
      </c>
      <c r="B38" s="18">
        <f>SUMIFS(Base!$G$2:$G$986,Base!$C$2:$C$986,2017,Base!$M$2:$M$986,1)</f>
        <v>8604810.9600000009</v>
      </c>
      <c r="C38">
        <f>COUNTIFS(Base!$C$2:$C$986,2017,Base!$M$2:$M$986,1)</f>
        <v>145</v>
      </c>
      <c r="H38" t="s">
        <v>227</v>
      </c>
      <c r="I38">
        <f>SUMIFS(Base!$G$2:$G$986,Base!$F$2:$F$986,H38,Base!$K$2:$K$986,1)</f>
        <v>1153550</v>
      </c>
      <c r="J38">
        <f>COUNTIFS(Base!$F$2:$F$986,H38,Base!$K$2:$K$986,1)</f>
        <v>20</v>
      </c>
      <c r="K38">
        <f t="shared" si="10"/>
        <v>1153550.0000380001</v>
      </c>
      <c r="L38" t="s">
        <v>38</v>
      </c>
      <c r="N38">
        <v>12</v>
      </c>
      <c r="O38" t="str">
        <f t="shared" si="11"/>
        <v>City</v>
      </c>
      <c r="P38" s="18">
        <f t="shared" si="12"/>
        <v>1554147.32</v>
      </c>
      <c r="Q38">
        <f t="shared" si="13"/>
        <v>27</v>
      </c>
      <c r="R38" s="19">
        <f t="shared" si="14"/>
        <v>2.5973788004464995E-2</v>
      </c>
      <c r="S38" t="str">
        <f t="shared" si="15"/>
        <v>Honda</v>
      </c>
    </row>
    <row r="39" spans="1:19">
      <c r="A39" t="s">
        <v>1137</v>
      </c>
      <c r="B39" s="18">
        <f>SUMIFS(Base!$G$2:$G$986,Base!$C$2:$C$986,2018,Base!$M$2:$M$986,1)</f>
        <v>8957729.7699999996</v>
      </c>
      <c r="C39">
        <f>COUNTIFS(Base!$C$2:$C$986,2018,Base!$M$2:$M$986,1)</f>
        <v>146</v>
      </c>
      <c r="H39" t="s">
        <v>489</v>
      </c>
      <c r="I39">
        <f>SUMIFS(Base!$G$2:$G$986,Base!$F$2:$F$986,H39,Base!$K$2:$K$986,1)</f>
        <v>551437.93999999994</v>
      </c>
      <c r="J39">
        <f>COUNTIFS(Base!$F$2:$F$986,H39,Base!$K$2:$K$986,1)</f>
        <v>10</v>
      </c>
      <c r="K39">
        <f t="shared" si="10"/>
        <v>551437.94003899989</v>
      </c>
      <c r="L39" t="s">
        <v>94</v>
      </c>
      <c r="N39">
        <v>13</v>
      </c>
      <c r="O39" t="str">
        <f t="shared" si="11"/>
        <v>CR-V</v>
      </c>
      <c r="P39" s="18">
        <f t="shared" si="12"/>
        <v>1530281</v>
      </c>
      <c r="Q39">
        <f t="shared" si="13"/>
        <v>26</v>
      </c>
      <c r="R39" s="19">
        <f t="shared" si="14"/>
        <v>2.5574920581699228E-2</v>
      </c>
      <c r="S39" t="str">
        <f t="shared" si="15"/>
        <v>Honda</v>
      </c>
    </row>
    <row r="40" spans="1:19">
      <c r="A40" t="s">
        <v>1138</v>
      </c>
      <c r="B40" s="18">
        <f>SUMIFS(Base!$G$2:$G$986,Base!$C$2:$C$986,2019,Base!$M$2:$M$986,1)</f>
        <v>8527352.9900000002</v>
      </c>
      <c r="C40">
        <f>COUNTIFS(Base!$C$2:$C$986,2019,Base!$M$2:$M$986,1)</f>
        <v>141</v>
      </c>
      <c r="H40" t="s">
        <v>140</v>
      </c>
      <c r="I40">
        <f>SUMIFS(Base!$G$2:$G$986,Base!$F$2:$F$986,H40,Base!$K$2:$K$986,1)</f>
        <v>1183829</v>
      </c>
      <c r="J40">
        <f>COUNTIFS(Base!$F$2:$F$986,H40,Base!$K$2:$K$986,1)</f>
        <v>20</v>
      </c>
      <c r="K40">
        <f t="shared" si="10"/>
        <v>1183829.0000400001</v>
      </c>
      <c r="L40" t="s">
        <v>73</v>
      </c>
      <c r="N40">
        <v>14</v>
      </c>
      <c r="O40" t="str">
        <f t="shared" si="11"/>
        <v>Onix</v>
      </c>
      <c r="P40" s="18">
        <f t="shared" si="12"/>
        <v>1521354</v>
      </c>
      <c r="Q40">
        <f t="shared" si="13"/>
        <v>24</v>
      </c>
      <c r="R40" s="19">
        <f t="shared" si="14"/>
        <v>2.5425727514522135E-2</v>
      </c>
      <c r="S40" t="str">
        <f t="shared" si="15"/>
        <v>Chevrolet</v>
      </c>
    </row>
    <row r="41" spans="1:19">
      <c r="A41" t="s">
        <v>1139</v>
      </c>
      <c r="B41" s="18">
        <f>SUMIFS(Base!$G$2:$G$986,Base!$C$2:$C$986,2020,Base!$M$2:$M$986,1)</f>
        <v>3309170.96</v>
      </c>
      <c r="C41">
        <f>COUNTIFS(Base!$C$2:$C$986,2020,Base!$M$2:$M$986,1)</f>
        <v>53</v>
      </c>
      <c r="H41" t="s">
        <v>129</v>
      </c>
      <c r="I41">
        <f>SUMIFS(Base!$G$2:$G$986,Base!$F$2:$F$986,H41,Base!$K$2:$K$986,1)</f>
        <v>1917430.1</v>
      </c>
      <c r="J41">
        <f>COUNTIFS(Base!$F$2:$F$986,H41,Base!$K$2:$K$986,1)</f>
        <v>33</v>
      </c>
      <c r="K41">
        <f t="shared" si="10"/>
        <v>1917430.1000410002</v>
      </c>
      <c r="L41" t="s">
        <v>76</v>
      </c>
      <c r="N41">
        <v>15</v>
      </c>
      <c r="O41" t="str">
        <f t="shared" si="11"/>
        <v>Voyage</v>
      </c>
      <c r="P41" s="18">
        <f t="shared" si="12"/>
        <v>1484900</v>
      </c>
      <c r="Q41">
        <f t="shared" si="13"/>
        <v>25</v>
      </c>
      <c r="R41" s="19">
        <f t="shared" si="14"/>
        <v>2.4816487672372059E-2</v>
      </c>
      <c r="S41" t="str">
        <f t="shared" si="15"/>
        <v>Volkswagen</v>
      </c>
    </row>
    <row r="42" spans="1:19">
      <c r="H42" t="s">
        <v>294</v>
      </c>
      <c r="I42">
        <f>SUMIFS(Base!$G$2:$G$986,Base!$F$2:$F$986,H42,Base!$K$2:$K$986,1)</f>
        <v>782289</v>
      </c>
      <c r="J42">
        <f>COUNTIFS(Base!$F$2:$F$986,H42,Base!$K$2:$K$986,1)</f>
        <v>12</v>
      </c>
      <c r="K42">
        <f t="shared" si="10"/>
        <v>782289.00004199997</v>
      </c>
      <c r="L42" t="s">
        <v>76</v>
      </c>
      <c r="N42">
        <v>16</v>
      </c>
      <c r="O42" t="str">
        <f t="shared" si="11"/>
        <v>Camaro</v>
      </c>
      <c r="P42" s="18">
        <f t="shared" si="12"/>
        <v>1453308.3399999999</v>
      </c>
      <c r="Q42">
        <f t="shared" si="13"/>
        <v>23</v>
      </c>
      <c r="R42" s="19">
        <f t="shared" si="14"/>
        <v>2.4288510003209304E-2</v>
      </c>
      <c r="S42" t="str">
        <f t="shared" si="15"/>
        <v>Chevrolet</v>
      </c>
    </row>
    <row r="43" spans="1:19">
      <c r="H43" t="s">
        <v>148</v>
      </c>
      <c r="I43">
        <f>SUMIFS(Base!$G$2:$G$986,Base!$F$2:$F$986,H43,Base!$K$2:$K$986,1)</f>
        <v>296525</v>
      </c>
      <c r="J43">
        <f>COUNTIFS(Base!$F$2:$F$986,H43,Base!$K$2:$K$986,1)</f>
        <v>5</v>
      </c>
      <c r="K43">
        <f t="shared" si="10"/>
        <v>296525.00004299998</v>
      </c>
      <c r="L43" t="s">
        <v>94</v>
      </c>
      <c r="N43">
        <v>17</v>
      </c>
      <c r="O43" t="str">
        <f t="shared" si="11"/>
        <v>Logan</v>
      </c>
      <c r="P43" s="18">
        <f t="shared" si="12"/>
        <v>1386313</v>
      </c>
      <c r="Q43">
        <f t="shared" si="13"/>
        <v>23</v>
      </c>
      <c r="R43" s="19">
        <f t="shared" si="14"/>
        <v>2.3168846033099284E-2</v>
      </c>
      <c r="S43" t="str">
        <f t="shared" si="15"/>
        <v>Renault</v>
      </c>
    </row>
    <row r="44" spans="1:19">
      <c r="H44" t="s">
        <v>112</v>
      </c>
      <c r="I44">
        <f>SUMIFS(Base!$G$2:$G$986,Base!$F$2:$F$986,H44,Base!$K$2:$K$986,1)</f>
        <v>616584</v>
      </c>
      <c r="J44">
        <f>COUNTIFS(Base!$F$2:$F$986,H44,Base!$K$2:$K$986,1)</f>
        <v>11</v>
      </c>
      <c r="K44">
        <f t="shared" si="10"/>
        <v>616584.00004399999</v>
      </c>
      <c r="L44" t="s">
        <v>38</v>
      </c>
      <c r="N44">
        <v>18</v>
      </c>
      <c r="O44" t="str">
        <f t="shared" si="11"/>
        <v>Grand Tour</v>
      </c>
      <c r="P44" s="18">
        <f t="shared" si="12"/>
        <v>1344601</v>
      </c>
      <c r="Q44">
        <f t="shared" si="13"/>
        <v>21</v>
      </c>
      <c r="R44" s="19">
        <f t="shared" si="14"/>
        <v>2.2471731524519593E-2</v>
      </c>
      <c r="S44" t="str">
        <f t="shared" si="15"/>
        <v>Renault</v>
      </c>
    </row>
    <row r="45" spans="1:19">
      <c r="H45" t="s">
        <v>192</v>
      </c>
      <c r="I45">
        <f>SUMIFS(Base!$G$2:$G$986,Base!$F$2:$F$986,H45,Base!$K$2:$K$986,1)</f>
        <v>549546</v>
      </c>
      <c r="J45">
        <f>COUNTIFS(Base!$F$2:$F$986,H45,Base!$K$2:$K$986,1)</f>
        <v>8</v>
      </c>
      <c r="K45">
        <f t="shared" si="10"/>
        <v>549546.00004499999</v>
      </c>
      <c r="L45" t="s">
        <v>94</v>
      </c>
      <c r="N45">
        <v>19</v>
      </c>
      <c r="O45" t="str">
        <f t="shared" si="11"/>
        <v>UP!</v>
      </c>
      <c r="P45" s="18">
        <f t="shared" si="12"/>
        <v>1335231</v>
      </c>
      <c r="Q45">
        <f t="shared" si="13"/>
        <v>22</v>
      </c>
      <c r="R45" s="19">
        <f t="shared" si="14"/>
        <v>2.2315134791076177E-2</v>
      </c>
      <c r="S45" t="str">
        <f t="shared" si="15"/>
        <v>Volkswagen</v>
      </c>
    </row>
    <row r="46" spans="1:19">
      <c r="H46" t="s">
        <v>328</v>
      </c>
      <c r="I46">
        <f>SUMIFS(Base!$G$2:$G$986,Base!$F$2:$F$986,H46,Base!$K$2:$K$986,1)</f>
        <v>549845.29</v>
      </c>
      <c r="J46">
        <f>COUNTIFS(Base!$F$2:$F$986,H46,Base!$K$2:$K$986,1)</f>
        <v>8</v>
      </c>
      <c r="K46">
        <f t="shared" si="10"/>
        <v>549845.29004600004</v>
      </c>
      <c r="L46" t="s">
        <v>94</v>
      </c>
      <c r="N46">
        <v>20</v>
      </c>
      <c r="O46" t="str">
        <f t="shared" si="11"/>
        <v>Joy</v>
      </c>
      <c r="P46" s="18">
        <f t="shared" si="12"/>
        <v>1322514.77</v>
      </c>
      <c r="Q46">
        <f t="shared" si="13"/>
        <v>23</v>
      </c>
      <c r="R46" s="19">
        <f t="shared" si="14"/>
        <v>2.2102613971469436E-2</v>
      </c>
      <c r="S46" t="str">
        <f t="shared" si="15"/>
        <v>Chevrolet</v>
      </c>
    </row>
    <row r="47" spans="1:19">
      <c r="H47" t="s">
        <v>207</v>
      </c>
      <c r="I47">
        <f>SUMIFS(Base!$G$2:$G$986,Base!$F$2:$F$986,H47,Base!$K$2:$K$986,1)</f>
        <v>774605</v>
      </c>
      <c r="J47">
        <f>COUNTIFS(Base!$F$2:$F$986,H47,Base!$K$2:$K$986,1)</f>
        <v>12</v>
      </c>
      <c r="K47">
        <f t="shared" si="10"/>
        <v>774605.00004700001</v>
      </c>
      <c r="L47" t="s">
        <v>76</v>
      </c>
      <c r="N47">
        <v>21</v>
      </c>
      <c r="O47" t="str">
        <f t="shared" si="11"/>
        <v>Gol</v>
      </c>
      <c r="P47" s="18">
        <f t="shared" si="12"/>
        <v>1260280</v>
      </c>
      <c r="Q47">
        <f t="shared" si="13"/>
        <v>21</v>
      </c>
      <c r="R47" s="19">
        <f t="shared" si="14"/>
        <v>2.1062511336613278E-2</v>
      </c>
      <c r="S47" t="str">
        <f t="shared" si="15"/>
        <v>Volkswagen</v>
      </c>
    </row>
    <row r="48" spans="1:19">
      <c r="H48" t="s">
        <v>272</v>
      </c>
      <c r="I48">
        <f>SUMIFS(Base!$G$2:$G$986,Base!$F$2:$F$986,H48,Base!$K$2:$K$986,1)</f>
        <v>716621</v>
      </c>
      <c r="J48">
        <f>COUNTIFS(Base!$F$2:$F$986,H48,Base!$K$2:$K$986,1)</f>
        <v>12</v>
      </c>
      <c r="K48">
        <f t="shared" si="10"/>
        <v>716621.00004800002</v>
      </c>
      <c r="L48" t="s">
        <v>47</v>
      </c>
      <c r="N48">
        <v>22</v>
      </c>
      <c r="O48" t="str">
        <f t="shared" si="11"/>
        <v>Ka</v>
      </c>
      <c r="P48" s="18">
        <f t="shared" si="12"/>
        <v>1244371</v>
      </c>
      <c r="Q48">
        <f t="shared" si="13"/>
        <v>20</v>
      </c>
      <c r="R48" s="19">
        <f t="shared" si="14"/>
        <v>2.0796631141058178E-2</v>
      </c>
      <c r="S48" t="str">
        <f t="shared" si="15"/>
        <v>Ford</v>
      </c>
    </row>
    <row r="49" spans="8:19">
      <c r="H49" t="s">
        <v>87</v>
      </c>
      <c r="I49">
        <f>SUMIFS(Base!$G$2:$G$986,Base!$F$2:$F$986,H49,Base!$K$2:$K$986,1)</f>
        <v>753158</v>
      </c>
      <c r="J49">
        <f>COUNTIFS(Base!$F$2:$F$986,H49,Base!$K$2:$K$986,1)</f>
        <v>12</v>
      </c>
      <c r="K49">
        <f t="shared" si="10"/>
        <v>753158.00004900002</v>
      </c>
      <c r="L49" t="s">
        <v>43</v>
      </c>
      <c r="N49">
        <v>23</v>
      </c>
      <c r="O49" t="str">
        <f t="shared" si="11"/>
        <v>Duster</v>
      </c>
      <c r="P49" s="18">
        <f t="shared" si="12"/>
        <v>1183829</v>
      </c>
      <c r="Q49">
        <f t="shared" si="13"/>
        <v>20</v>
      </c>
      <c r="R49" s="19">
        <f t="shared" si="14"/>
        <v>1.9784819034747485E-2</v>
      </c>
      <c r="S49" t="str">
        <f t="shared" si="15"/>
        <v>Renault</v>
      </c>
    </row>
    <row r="50" spans="8:19">
      <c r="H50" t="s">
        <v>77</v>
      </c>
      <c r="I50">
        <f>SUMIFS(Base!$G$2:$G$986,Base!$F$2:$F$986,H50,Base!$K$2:$K$986,1)</f>
        <v>1755800</v>
      </c>
      <c r="J50">
        <f>COUNTIFS(Base!$F$2:$F$986,H50,Base!$K$2:$K$986,1)</f>
        <v>30</v>
      </c>
      <c r="K50">
        <f t="shared" si="10"/>
        <v>1755800.0000499999</v>
      </c>
      <c r="L50" t="s">
        <v>76</v>
      </c>
      <c r="N50">
        <v>24</v>
      </c>
      <c r="O50" t="str">
        <f t="shared" si="11"/>
        <v>Cruze</v>
      </c>
      <c r="P50" s="18">
        <f t="shared" si="12"/>
        <v>1153550</v>
      </c>
      <c r="Q50">
        <f t="shared" si="13"/>
        <v>20</v>
      </c>
      <c r="R50" s="19">
        <f t="shared" si="14"/>
        <v>1.9278779281072658E-2</v>
      </c>
      <c r="S50" t="str">
        <f t="shared" si="15"/>
        <v>Chevrolet</v>
      </c>
    </row>
    <row r="51" spans="8:19">
      <c r="H51" t="s">
        <v>134</v>
      </c>
      <c r="I51">
        <f>SUMIFS(Base!$G$2:$G$986,Base!$F$2:$F$986,H51,Base!$K$2:$K$986,1)</f>
        <v>1260280</v>
      </c>
      <c r="J51">
        <f>COUNTIFS(Base!$F$2:$F$986,H51,Base!$K$2:$K$986,1)</f>
        <v>21</v>
      </c>
      <c r="K51">
        <f t="shared" si="10"/>
        <v>1260280.0000509999</v>
      </c>
      <c r="L51" t="s">
        <v>43</v>
      </c>
      <c r="N51">
        <v>25</v>
      </c>
      <c r="O51" t="str">
        <f t="shared" si="11"/>
        <v>S2000</v>
      </c>
      <c r="P51" s="18">
        <f t="shared" si="12"/>
        <v>1092944</v>
      </c>
      <c r="Q51">
        <f t="shared" si="13"/>
        <v>19</v>
      </c>
      <c r="R51" s="19">
        <f t="shared" si="14"/>
        <v>1.8265897570606104E-2</v>
      </c>
      <c r="S51" t="str">
        <f t="shared" si="15"/>
        <v>Honda</v>
      </c>
    </row>
    <row r="52" spans="8:19">
      <c r="H52" t="s">
        <v>44</v>
      </c>
      <c r="I52">
        <f>SUMIFS(Base!$G$2:$G$986,Base!$F$2:$F$986,H52,Base!$K$2:$K$986,1)</f>
        <v>1932673</v>
      </c>
      <c r="J52">
        <f>COUNTIFS(Base!$F$2:$F$986,H52,Base!$K$2:$K$986,1)</f>
        <v>32</v>
      </c>
      <c r="K52">
        <f t="shared" si="10"/>
        <v>1932673.0000519999</v>
      </c>
      <c r="L52" t="s">
        <v>43</v>
      </c>
      <c r="N52">
        <v>26</v>
      </c>
      <c r="O52" t="str">
        <f t="shared" si="11"/>
        <v>Passat</v>
      </c>
      <c r="P52" s="18">
        <f t="shared" si="12"/>
        <v>918560</v>
      </c>
      <c r="Q52">
        <f t="shared" si="13"/>
        <v>16</v>
      </c>
      <c r="R52" s="19">
        <f t="shared" si="14"/>
        <v>1.5351493646935199E-2</v>
      </c>
      <c r="S52" t="str">
        <f t="shared" si="15"/>
        <v>Volkswagen</v>
      </c>
    </row>
    <row r="53" spans="8:19">
      <c r="H53" t="s">
        <v>223</v>
      </c>
      <c r="I53">
        <f>SUMIFS(Base!$G$2:$G$986,Base!$F$2:$F$986,H53,Base!$K$2:$K$986,1)</f>
        <v>1344601</v>
      </c>
      <c r="J53">
        <f>COUNTIFS(Base!$F$2:$F$986,H53,Base!$K$2:$K$986,1)</f>
        <v>21</v>
      </c>
      <c r="K53">
        <f t="shared" si="10"/>
        <v>1344601.0000529999</v>
      </c>
      <c r="L53" t="s">
        <v>73</v>
      </c>
      <c r="N53">
        <v>27</v>
      </c>
      <c r="O53" t="str">
        <f t="shared" si="11"/>
        <v>Spin</v>
      </c>
      <c r="P53" s="18">
        <f t="shared" si="12"/>
        <v>858463</v>
      </c>
      <c r="Q53">
        <f t="shared" si="13"/>
        <v>14</v>
      </c>
      <c r="R53" s="19">
        <f t="shared" si="14"/>
        <v>1.4347118632020697E-2</v>
      </c>
      <c r="S53" t="str">
        <f t="shared" si="15"/>
        <v>Chevrolet</v>
      </c>
    </row>
    <row r="54" spans="8:19">
      <c r="H54" t="s">
        <v>132</v>
      </c>
      <c r="I54">
        <f>SUMIFS(Base!$G$2:$G$986,Base!$F$2:$F$986,H54,Base!$K$2:$K$986,1)</f>
        <v>1972500</v>
      </c>
      <c r="J54">
        <f>COUNTIFS(Base!$F$2:$F$986,H54,Base!$K$2:$K$986,1)</f>
        <v>33</v>
      </c>
      <c r="K54">
        <f t="shared" si="10"/>
        <v>1972500.0000539999</v>
      </c>
      <c r="L54" t="s">
        <v>47</v>
      </c>
      <c r="N54">
        <v>28</v>
      </c>
      <c r="O54" t="str">
        <f t="shared" si="11"/>
        <v>Z4</v>
      </c>
      <c r="P54" s="18">
        <f t="shared" si="12"/>
        <v>857136.03</v>
      </c>
      <c r="Q54">
        <f t="shared" si="13"/>
        <v>14</v>
      </c>
      <c r="R54" s="19">
        <f t="shared" si="14"/>
        <v>1.4324941559728552E-2</v>
      </c>
      <c r="S54" t="str">
        <f t="shared" si="15"/>
        <v>BMW</v>
      </c>
    </row>
    <row r="55" spans="8:19">
      <c r="H55" t="s">
        <v>124</v>
      </c>
      <c r="I55">
        <f>SUMIFS(Base!$G$2:$G$986,Base!$F$2:$F$986,H55,Base!$K$2:$K$986,1)</f>
        <v>593517</v>
      </c>
      <c r="J55">
        <f>COUNTIFS(Base!$F$2:$F$986,H55,Base!$K$2:$K$986,1)</f>
        <v>10</v>
      </c>
      <c r="K55">
        <f t="shared" si="10"/>
        <v>593517.00005499995</v>
      </c>
      <c r="L55" t="s">
        <v>63</v>
      </c>
      <c r="N55">
        <v>29</v>
      </c>
      <c r="O55" t="str">
        <f t="shared" si="11"/>
        <v>Teritory</v>
      </c>
      <c r="P55" s="18">
        <f t="shared" si="12"/>
        <v>804856.92999999993</v>
      </c>
      <c r="Q55">
        <f t="shared" si="13"/>
        <v>12</v>
      </c>
      <c r="R55" s="19">
        <f t="shared" si="14"/>
        <v>1.3451223706221441E-2</v>
      </c>
      <c r="S55" t="str">
        <f t="shared" si="15"/>
        <v>Ford</v>
      </c>
    </row>
    <row r="56" spans="8:19">
      <c r="H56" t="s">
        <v>380</v>
      </c>
      <c r="I56">
        <f>SUMIFS(Base!$G$2:$G$986,Base!$F$2:$F$986,H56,Base!$K$2:$K$986,1)</f>
        <v>579578</v>
      </c>
      <c r="J56">
        <f>COUNTIFS(Base!$F$2:$F$986,H56,Base!$K$2:$K$986,1)</f>
        <v>9</v>
      </c>
      <c r="K56">
        <f t="shared" si="10"/>
        <v>579578.00005599996</v>
      </c>
      <c r="L56" t="s">
        <v>43</v>
      </c>
      <c r="N56">
        <v>30</v>
      </c>
      <c r="O56" t="str">
        <f t="shared" si="11"/>
        <v>Polo</v>
      </c>
      <c r="P56" s="18">
        <f t="shared" si="12"/>
        <v>786331</v>
      </c>
      <c r="Q56">
        <f t="shared" si="13"/>
        <v>13</v>
      </c>
      <c r="R56" s="19">
        <f t="shared" si="14"/>
        <v>1.3141607898110304E-2</v>
      </c>
      <c r="S56" t="str">
        <f t="shared" si="15"/>
        <v>Volkswagen</v>
      </c>
    </row>
    <row r="57" spans="8:19">
      <c r="H57" t="s">
        <v>165</v>
      </c>
      <c r="I57">
        <f>SUMIFS(Base!$G$2:$G$986,Base!$F$2:$F$986,H57,Base!$K$2:$K$986,1)</f>
        <v>1322514.77</v>
      </c>
      <c r="J57">
        <f>COUNTIFS(Base!$F$2:$F$986,H57,Base!$K$2:$K$986,1)</f>
        <v>23</v>
      </c>
      <c r="K57">
        <f t="shared" si="10"/>
        <v>1322514.770057</v>
      </c>
      <c r="L57" t="s">
        <v>38</v>
      </c>
      <c r="N57">
        <v>31</v>
      </c>
      <c r="O57" t="str">
        <f t="shared" si="11"/>
        <v>Edge</v>
      </c>
      <c r="P57" s="18">
        <f t="shared" si="12"/>
        <v>782289</v>
      </c>
      <c r="Q57">
        <f t="shared" si="13"/>
        <v>12</v>
      </c>
      <c r="R57" s="19">
        <f t="shared" si="14"/>
        <v>1.3074055710641972E-2</v>
      </c>
      <c r="S57" t="str">
        <f t="shared" si="15"/>
        <v>Ford</v>
      </c>
    </row>
    <row r="58" spans="8:19">
      <c r="H58" t="s">
        <v>91</v>
      </c>
      <c r="I58">
        <f>SUMIFS(Base!$G$2:$G$986,Base!$F$2:$F$986,H58,Base!$K$2:$K$986,1)</f>
        <v>1244371</v>
      </c>
      <c r="J58">
        <f>COUNTIFS(Base!$F$2:$F$986,H58,Base!$K$2:$K$986,1)</f>
        <v>20</v>
      </c>
      <c r="K58">
        <f t="shared" si="10"/>
        <v>1244371.000058</v>
      </c>
      <c r="L58" t="s">
        <v>76</v>
      </c>
      <c r="N58">
        <v>32</v>
      </c>
      <c r="O58" t="str">
        <f t="shared" si="11"/>
        <v>Kwid</v>
      </c>
      <c r="P58" s="18">
        <f t="shared" si="12"/>
        <v>778174</v>
      </c>
      <c r="Q58">
        <f t="shared" si="13"/>
        <v>13</v>
      </c>
      <c r="R58" s="19">
        <f t="shared" si="14"/>
        <v>1.3005283505933364E-2</v>
      </c>
      <c r="S58" t="str">
        <f t="shared" si="15"/>
        <v>Renault</v>
      </c>
    </row>
    <row r="59" spans="8:19">
      <c r="H59" t="s">
        <v>150</v>
      </c>
      <c r="I59">
        <f>SUMIFS(Base!$G$2:$G$986,Base!$F$2:$F$986,H59,Base!$K$2:$K$986,1)</f>
        <v>778174</v>
      </c>
      <c r="J59">
        <f>COUNTIFS(Base!$F$2:$F$986,H59,Base!$K$2:$K$986,1)</f>
        <v>13</v>
      </c>
      <c r="K59">
        <f t="shared" ref="K59:K80" si="16">I59+ROW()/1000000</f>
        <v>778174.00005899998</v>
      </c>
      <c r="L59" t="s">
        <v>73</v>
      </c>
      <c r="N59">
        <v>33</v>
      </c>
      <c r="O59" t="str">
        <f t="shared" ref="O59:O90" si="17">INDEX($H$27:$H$80,MATCH(LARGE($K$27:$K$80,N59),$K$27:$K$80,0))</f>
        <v>Fiesta</v>
      </c>
      <c r="P59" s="18">
        <f t="shared" ref="P59:P80" si="18">INDEX($I$27:$I$80,MATCH(LARGE($K$27:$K$80,N59),$K$27:$K$80,0))</f>
        <v>774605</v>
      </c>
      <c r="Q59">
        <f t="shared" ref="Q59:Q80" si="19">INDEX($J$27:$J$80,MATCH(LARGE($K$27:$K$80,N59),$K$27:$K$80,0))</f>
        <v>12</v>
      </c>
      <c r="R59" s="19">
        <f t="shared" ref="R59:R80" si="20">IFERROR(P59/kpi_fat,0)</f>
        <v>1.294563636167941E-2</v>
      </c>
      <c r="S59" t="str">
        <f t="shared" ref="S59:S80" si="21">INDEX($L$27:$L$80,MATCH(LARGE($K$27:$K$80,N59),$K$27:$K$80,0))</f>
        <v>Ford</v>
      </c>
    </row>
    <row r="60" spans="8:19">
      <c r="H60" t="s">
        <v>662</v>
      </c>
      <c r="I60">
        <f>SUMIFS(Base!$G$2:$G$986,Base!$F$2:$F$986,H60,Base!$K$2:$K$986,1)</f>
        <v>114679</v>
      </c>
      <c r="J60">
        <f>COUNTIFS(Base!$F$2:$F$986,H60,Base!$K$2:$K$986,1)</f>
        <v>2</v>
      </c>
      <c r="K60">
        <f t="shared" si="16"/>
        <v>114679.00006000001</v>
      </c>
      <c r="L60" t="s">
        <v>94</v>
      </c>
      <c r="N60">
        <v>34</v>
      </c>
      <c r="O60" t="str">
        <f t="shared" si="17"/>
        <v>BMW Série 1</v>
      </c>
      <c r="P60" s="18">
        <f t="shared" si="18"/>
        <v>762131.21000000008</v>
      </c>
      <c r="Q60">
        <f t="shared" si="19"/>
        <v>12</v>
      </c>
      <c r="R60" s="19">
        <f t="shared" si="20"/>
        <v>1.2737167336315578E-2</v>
      </c>
      <c r="S60" t="str">
        <f t="shared" si="21"/>
        <v>BMW</v>
      </c>
    </row>
    <row r="61" spans="8:19">
      <c r="H61" t="s">
        <v>119</v>
      </c>
      <c r="I61">
        <f>SUMIFS(Base!$G$2:$G$986,Base!$F$2:$F$986,H61,Base!$K$2:$K$986,1)</f>
        <v>1386313</v>
      </c>
      <c r="J61">
        <f>COUNTIFS(Base!$F$2:$F$986,H61,Base!$K$2:$K$986,1)</f>
        <v>23</v>
      </c>
      <c r="K61">
        <f t="shared" si="16"/>
        <v>1386313.000061</v>
      </c>
      <c r="L61" t="s">
        <v>73</v>
      </c>
      <c r="N61">
        <v>35</v>
      </c>
      <c r="O61" t="str">
        <f t="shared" si="17"/>
        <v>Fox</v>
      </c>
      <c r="P61" s="18">
        <f t="shared" si="18"/>
        <v>753158</v>
      </c>
      <c r="Q61">
        <f t="shared" si="19"/>
        <v>12</v>
      </c>
      <c r="R61" s="19">
        <f t="shared" si="20"/>
        <v>1.2587201981512825E-2</v>
      </c>
      <c r="S61" t="str">
        <f t="shared" si="21"/>
        <v>Volkswagen</v>
      </c>
    </row>
    <row r="62" spans="8:19">
      <c r="H62" t="s">
        <v>138</v>
      </c>
      <c r="I62">
        <f>SUMIFS(Base!$G$2:$G$986,Base!$F$2:$F$986,H62,Base!$K$2:$K$986,1)</f>
        <v>2163693</v>
      </c>
      <c r="J62">
        <f>COUNTIFS(Base!$F$2:$F$986,H62,Base!$K$2:$K$986,1)</f>
        <v>36</v>
      </c>
      <c r="K62">
        <f t="shared" si="16"/>
        <v>2163693.000062</v>
      </c>
      <c r="L62" t="s">
        <v>76</v>
      </c>
      <c r="N62">
        <v>36</v>
      </c>
      <c r="O62" t="str">
        <f t="shared" si="17"/>
        <v>Tracker</v>
      </c>
      <c r="P62" s="18">
        <f t="shared" si="18"/>
        <v>740391</v>
      </c>
      <c r="Q62">
        <f t="shared" si="19"/>
        <v>12</v>
      </c>
      <c r="R62" s="19">
        <f t="shared" si="20"/>
        <v>1.2373832664984322E-2</v>
      </c>
      <c r="S62" t="str">
        <f t="shared" si="21"/>
        <v>Chevrolet</v>
      </c>
    </row>
    <row r="63" spans="8:19">
      <c r="H63" t="s">
        <v>48</v>
      </c>
      <c r="I63">
        <f>SUMIFS(Base!$G$2:$G$986,Base!$F$2:$F$986,H63,Base!$K$2:$K$986,1)</f>
        <v>2214212.75</v>
      </c>
      <c r="J63">
        <f>COUNTIFS(Base!$F$2:$F$986,H63,Base!$K$2:$K$986,1)</f>
        <v>36</v>
      </c>
      <c r="K63">
        <f t="shared" si="16"/>
        <v>2214212.7500629998</v>
      </c>
      <c r="L63" t="s">
        <v>47</v>
      </c>
      <c r="N63">
        <v>37</v>
      </c>
      <c r="O63" t="str">
        <f t="shared" si="17"/>
        <v>Fit</v>
      </c>
      <c r="P63" s="18">
        <f t="shared" si="18"/>
        <v>716621</v>
      </c>
      <c r="Q63">
        <f t="shared" si="19"/>
        <v>12</v>
      </c>
      <c r="R63" s="19">
        <f t="shared" si="20"/>
        <v>1.197657499647312E-2</v>
      </c>
      <c r="S63" t="str">
        <f t="shared" si="21"/>
        <v>Honda</v>
      </c>
    </row>
    <row r="64" spans="8:19">
      <c r="H64" t="s">
        <v>39</v>
      </c>
      <c r="I64">
        <f>SUMIFS(Base!$G$2:$G$986,Base!$F$2:$F$986,H64,Base!$K$2:$K$986,1)</f>
        <v>1521354</v>
      </c>
      <c r="J64">
        <f>COUNTIFS(Base!$F$2:$F$986,H64,Base!$K$2:$K$986,1)</f>
        <v>24</v>
      </c>
      <c r="K64">
        <f t="shared" si="16"/>
        <v>1521354.000064</v>
      </c>
      <c r="L64" t="s">
        <v>38</v>
      </c>
      <c r="N64">
        <v>38</v>
      </c>
      <c r="O64" t="str">
        <f t="shared" si="17"/>
        <v>Portofino</v>
      </c>
      <c r="P64" s="18">
        <f t="shared" si="18"/>
        <v>689511.81</v>
      </c>
      <c r="Q64">
        <f t="shared" si="19"/>
        <v>11</v>
      </c>
      <c r="R64" s="19">
        <f t="shared" si="20"/>
        <v>1.1523510898255738E-2</v>
      </c>
      <c r="S64" t="str">
        <f t="shared" si="21"/>
        <v>Ferrari</v>
      </c>
    </row>
    <row r="65" spans="8:19">
      <c r="H65" t="s">
        <v>67</v>
      </c>
      <c r="I65">
        <f>SUMIFS(Base!$G$2:$G$986,Base!$F$2:$F$986,H65,Base!$K$2:$K$986,1)</f>
        <v>918560</v>
      </c>
      <c r="J65">
        <f>COUNTIFS(Base!$F$2:$F$986,H65,Base!$K$2:$K$986,1)</f>
        <v>16</v>
      </c>
      <c r="K65">
        <f t="shared" si="16"/>
        <v>918560.00006500003</v>
      </c>
      <c r="L65" t="s">
        <v>43</v>
      </c>
      <c r="N65">
        <v>39</v>
      </c>
      <c r="O65" t="str">
        <f t="shared" si="17"/>
        <v>Civic</v>
      </c>
      <c r="P65" s="18">
        <f t="shared" si="18"/>
        <v>657166</v>
      </c>
      <c r="Q65">
        <f t="shared" si="19"/>
        <v>10</v>
      </c>
      <c r="R65" s="19">
        <f t="shared" si="20"/>
        <v>1.0982929448247058E-2</v>
      </c>
      <c r="S65" t="str">
        <f t="shared" si="21"/>
        <v>Honda</v>
      </c>
    </row>
    <row r="66" spans="8:19">
      <c r="H66" t="s">
        <v>251</v>
      </c>
      <c r="I66">
        <f>SUMIFS(Base!$G$2:$G$986,Base!$F$2:$F$986,H66,Base!$K$2:$K$986,1)</f>
        <v>786331</v>
      </c>
      <c r="J66">
        <f>COUNTIFS(Base!$F$2:$F$986,H66,Base!$K$2:$K$986,1)</f>
        <v>13</v>
      </c>
      <c r="K66">
        <f t="shared" si="16"/>
        <v>786331.00006600004</v>
      </c>
      <c r="L66" t="s">
        <v>43</v>
      </c>
      <c r="N66">
        <v>40</v>
      </c>
      <c r="O66" t="str">
        <f t="shared" si="17"/>
        <v>Equinox</v>
      </c>
      <c r="P66" s="18">
        <f t="shared" si="18"/>
        <v>616584</v>
      </c>
      <c r="Q66">
        <f t="shared" si="19"/>
        <v>11</v>
      </c>
      <c r="R66" s="19">
        <f t="shared" si="20"/>
        <v>1.0304700138044213E-2</v>
      </c>
      <c r="S66" t="str">
        <f t="shared" si="21"/>
        <v>Chevrolet</v>
      </c>
    </row>
    <row r="67" spans="8:19">
      <c r="H67" t="s">
        <v>95</v>
      </c>
      <c r="I67">
        <f>SUMIFS(Base!$G$2:$G$986,Base!$F$2:$F$986,H67,Base!$K$2:$K$986,1)</f>
        <v>689511.81</v>
      </c>
      <c r="J67">
        <f>COUNTIFS(Base!$F$2:$F$986,H67,Base!$K$2:$K$986,1)</f>
        <v>11</v>
      </c>
      <c r="K67">
        <f t="shared" si="16"/>
        <v>689511.8100670001</v>
      </c>
      <c r="L67" t="s">
        <v>94</v>
      </c>
      <c r="N67">
        <v>41</v>
      </c>
      <c r="O67" t="str">
        <f t="shared" si="17"/>
        <v>I8</v>
      </c>
      <c r="P67" s="18">
        <f t="shared" si="18"/>
        <v>593517</v>
      </c>
      <c r="Q67">
        <f t="shared" si="19"/>
        <v>10</v>
      </c>
      <c r="R67" s="19">
        <f t="shared" si="20"/>
        <v>9.919191402682501E-3</v>
      </c>
      <c r="S67" t="str">
        <f t="shared" si="21"/>
        <v>BMW</v>
      </c>
    </row>
    <row r="68" spans="8:19">
      <c r="H68" t="s">
        <v>56</v>
      </c>
      <c r="I68">
        <f>SUMIFS(Base!$G$2:$G$986,Base!$F$2:$F$986,H68,Base!$K$2:$K$986,1)</f>
        <v>1981776</v>
      </c>
      <c r="J68">
        <f>COUNTIFS(Base!$F$2:$F$986,H68,Base!$K$2:$K$986,1)</f>
        <v>33</v>
      </c>
      <c r="K68">
        <f t="shared" si="16"/>
        <v>1981776.0000680001</v>
      </c>
      <c r="L68" t="s">
        <v>38</v>
      </c>
      <c r="N68">
        <v>42</v>
      </c>
      <c r="O68" t="str">
        <f t="shared" si="17"/>
        <v>X6</v>
      </c>
      <c r="P68" s="18">
        <f t="shared" si="18"/>
        <v>587662.41</v>
      </c>
      <c r="Q68">
        <f t="shared" si="19"/>
        <v>9</v>
      </c>
      <c r="R68" s="19">
        <f t="shared" si="20"/>
        <v>9.8213461871381608E-3</v>
      </c>
      <c r="S68" t="str">
        <f t="shared" si="21"/>
        <v>BMW</v>
      </c>
    </row>
    <row r="69" spans="8:19">
      <c r="H69" t="s">
        <v>110</v>
      </c>
      <c r="I69">
        <f>SUMIFS(Base!$G$2:$G$986,Base!$F$2:$F$986,H69,Base!$K$2:$K$986,1)</f>
        <v>2245733</v>
      </c>
      <c r="J69">
        <f>COUNTIFS(Base!$F$2:$F$986,H69,Base!$K$2:$K$986,1)</f>
        <v>38</v>
      </c>
      <c r="K69">
        <f t="shared" si="16"/>
        <v>2245733.0000689998</v>
      </c>
      <c r="L69" t="s">
        <v>76</v>
      </c>
      <c r="N69">
        <v>43</v>
      </c>
      <c r="O69" t="str">
        <f t="shared" si="17"/>
        <v>Jetta</v>
      </c>
      <c r="P69" s="18">
        <f t="shared" si="18"/>
        <v>579578</v>
      </c>
      <c r="Q69">
        <f t="shared" si="19"/>
        <v>9</v>
      </c>
      <c r="R69" s="19">
        <f t="shared" si="20"/>
        <v>9.6862349600498696E-3</v>
      </c>
      <c r="S69" t="str">
        <f t="shared" si="21"/>
        <v>Volkswagen</v>
      </c>
    </row>
    <row r="70" spans="8:19">
      <c r="H70" t="s">
        <v>116</v>
      </c>
      <c r="I70">
        <f>SUMIFS(Base!$G$2:$G$986,Base!$F$2:$F$986,H70,Base!$K$2:$K$986,1)</f>
        <v>1092944</v>
      </c>
      <c r="J70">
        <f>COUNTIFS(Base!$F$2:$F$986,H70,Base!$K$2:$K$986,1)</f>
        <v>19</v>
      </c>
      <c r="K70">
        <f t="shared" si="16"/>
        <v>1092944.0000700001</v>
      </c>
      <c r="L70" t="s">
        <v>47</v>
      </c>
      <c r="N70">
        <v>44</v>
      </c>
      <c r="O70" t="str">
        <f t="shared" si="17"/>
        <v>Dino 246</v>
      </c>
      <c r="P70" s="18">
        <f t="shared" si="18"/>
        <v>551437.93999999994</v>
      </c>
      <c r="Q70">
        <f t="shared" si="19"/>
        <v>10</v>
      </c>
      <c r="R70" s="19">
        <f t="shared" si="20"/>
        <v>9.2159423800176714E-3</v>
      </c>
      <c r="S70" t="str">
        <f t="shared" si="21"/>
        <v>Ferrari</v>
      </c>
    </row>
    <row r="71" spans="8:19">
      <c r="H71" t="s">
        <v>102</v>
      </c>
      <c r="I71">
        <f>SUMIFS(Base!$G$2:$G$986,Base!$F$2:$F$986,H71,Base!$K$2:$K$986,1)</f>
        <v>2749726</v>
      </c>
      <c r="J71">
        <f>COUNTIFS(Base!$F$2:$F$986,H71,Base!$K$2:$K$986,1)</f>
        <v>43</v>
      </c>
      <c r="K71">
        <f t="shared" si="16"/>
        <v>2749726.0000709998</v>
      </c>
      <c r="L71" t="s">
        <v>73</v>
      </c>
      <c r="N71">
        <v>45</v>
      </c>
      <c r="O71" t="str">
        <f t="shared" si="17"/>
        <v>F8</v>
      </c>
      <c r="P71" s="18">
        <f t="shared" si="18"/>
        <v>549845.29</v>
      </c>
      <c r="Q71">
        <f t="shared" si="19"/>
        <v>8</v>
      </c>
      <c r="R71" s="19">
        <f t="shared" si="20"/>
        <v>9.1893251134735274E-3</v>
      </c>
      <c r="S71" t="str">
        <f t="shared" si="21"/>
        <v>Ferrari</v>
      </c>
    </row>
    <row r="72" spans="8:19">
      <c r="H72" t="s">
        <v>80</v>
      </c>
      <c r="I72">
        <f>SUMIFS(Base!$G$2:$G$986,Base!$F$2:$F$986,H72,Base!$K$2:$K$986,1)</f>
        <v>858463</v>
      </c>
      <c r="J72">
        <f>COUNTIFS(Base!$F$2:$F$986,H72,Base!$K$2:$K$986,1)</f>
        <v>14</v>
      </c>
      <c r="K72">
        <f t="shared" si="16"/>
        <v>858463.00007199997</v>
      </c>
      <c r="L72" t="s">
        <v>38</v>
      </c>
      <c r="N72">
        <v>46</v>
      </c>
      <c r="O72" t="str">
        <f t="shared" si="17"/>
        <v>F50</v>
      </c>
      <c r="P72" s="18">
        <f t="shared" si="18"/>
        <v>549546</v>
      </c>
      <c r="Q72">
        <f t="shared" si="19"/>
        <v>8</v>
      </c>
      <c r="R72" s="19">
        <f t="shared" si="20"/>
        <v>9.1843232099140509E-3</v>
      </c>
      <c r="S72" t="str">
        <f t="shared" si="21"/>
        <v>Ferrari</v>
      </c>
    </row>
    <row r="73" spans="8:19">
      <c r="H73" t="s">
        <v>216</v>
      </c>
      <c r="I73">
        <f>SUMIFS(Base!$G$2:$G$986,Base!$F$2:$F$986,H73,Base!$K$2:$K$986,1)</f>
        <v>804856.92999999993</v>
      </c>
      <c r="J73">
        <f>COUNTIFS(Base!$F$2:$F$986,H73,Base!$K$2:$K$986,1)</f>
        <v>12</v>
      </c>
      <c r="K73">
        <f t="shared" si="16"/>
        <v>804856.93007299991</v>
      </c>
      <c r="L73" t="s">
        <v>76</v>
      </c>
      <c r="N73">
        <v>47</v>
      </c>
      <c r="O73" t="str">
        <f t="shared" si="17"/>
        <v>X3</v>
      </c>
      <c r="P73" s="18">
        <f t="shared" si="18"/>
        <v>518074.99</v>
      </c>
      <c r="Q73">
        <f t="shared" si="19"/>
        <v>9</v>
      </c>
      <c r="R73" s="19">
        <f t="shared" si="20"/>
        <v>8.6583619117107397E-3</v>
      </c>
      <c r="S73" t="str">
        <f t="shared" si="21"/>
        <v>BMW</v>
      </c>
    </row>
    <row r="74" spans="8:19">
      <c r="H74" t="s">
        <v>236</v>
      </c>
      <c r="I74">
        <f>SUMIFS(Base!$G$2:$G$986,Base!$F$2:$F$986,H74,Base!$K$2:$K$986,1)</f>
        <v>740391</v>
      </c>
      <c r="J74">
        <f>COUNTIFS(Base!$F$2:$F$986,H74,Base!$K$2:$K$986,1)</f>
        <v>12</v>
      </c>
      <c r="K74">
        <f t="shared" si="16"/>
        <v>740391.00007399998</v>
      </c>
      <c r="L74" t="s">
        <v>38</v>
      </c>
      <c r="N74">
        <v>48</v>
      </c>
      <c r="O74" t="str">
        <f t="shared" si="17"/>
        <v>X5</v>
      </c>
      <c r="P74" s="18">
        <f t="shared" si="18"/>
        <v>490694</v>
      </c>
      <c r="Q74">
        <f t="shared" si="19"/>
        <v>8</v>
      </c>
      <c r="R74" s="19">
        <f t="shared" si="20"/>
        <v>8.2007553383439524E-3</v>
      </c>
      <c r="S74" t="str">
        <f t="shared" si="21"/>
        <v>BMW</v>
      </c>
    </row>
    <row r="75" spans="8:19">
      <c r="H75" t="s">
        <v>197</v>
      </c>
      <c r="I75">
        <f>SUMIFS(Base!$G$2:$G$986,Base!$F$2:$F$986,H75,Base!$K$2:$K$986,1)</f>
        <v>1335231</v>
      </c>
      <c r="J75">
        <f>COUNTIFS(Base!$F$2:$F$986,H75,Base!$K$2:$K$986,1)</f>
        <v>22</v>
      </c>
      <c r="K75">
        <f t="shared" si="16"/>
        <v>1335231.0000750001</v>
      </c>
      <c r="L75" t="s">
        <v>43</v>
      </c>
      <c r="N75">
        <v>49</v>
      </c>
      <c r="O75" t="str">
        <f t="shared" si="17"/>
        <v>BMW Série 3</v>
      </c>
      <c r="P75" s="18">
        <f t="shared" si="18"/>
        <v>418774</v>
      </c>
      <c r="Q75">
        <f t="shared" si="19"/>
        <v>7</v>
      </c>
      <c r="R75" s="19">
        <f t="shared" si="20"/>
        <v>6.998787668199836E-3</v>
      </c>
      <c r="S75" t="str">
        <f t="shared" si="21"/>
        <v>BMW</v>
      </c>
    </row>
    <row r="76" spans="8:19">
      <c r="H76" t="s">
        <v>70</v>
      </c>
      <c r="I76">
        <f>SUMIFS(Base!$G$2:$G$986,Base!$F$2:$F$986,H76,Base!$K$2:$K$986,1)</f>
        <v>1484900</v>
      </c>
      <c r="J76">
        <f>COUNTIFS(Base!$F$2:$F$986,H76,Base!$K$2:$K$986,1)</f>
        <v>25</v>
      </c>
      <c r="K76">
        <f t="shared" si="16"/>
        <v>1484900.0000760001</v>
      </c>
      <c r="L76" t="s">
        <v>43</v>
      </c>
      <c r="N76">
        <v>50</v>
      </c>
      <c r="O76" t="str">
        <f t="shared" si="17"/>
        <v>308 GTS</v>
      </c>
      <c r="P76" s="18">
        <f t="shared" si="18"/>
        <v>387954</v>
      </c>
      <c r="Q76">
        <f t="shared" si="19"/>
        <v>6</v>
      </c>
      <c r="R76" s="19">
        <f t="shared" si="20"/>
        <v>6.4837064168950295E-3</v>
      </c>
      <c r="S76" t="str">
        <f t="shared" si="21"/>
        <v>Ferrari</v>
      </c>
    </row>
    <row r="77" spans="8:19">
      <c r="H77" t="s">
        <v>248</v>
      </c>
      <c r="I77">
        <f>SUMIFS(Base!$G$2:$G$986,Base!$F$2:$F$986,H77,Base!$K$2:$K$986,1)</f>
        <v>518074.99</v>
      </c>
      <c r="J77">
        <f>COUNTIFS(Base!$F$2:$F$986,H77,Base!$K$2:$K$986,1)</f>
        <v>9</v>
      </c>
      <c r="K77">
        <f t="shared" si="16"/>
        <v>518074.99007699999</v>
      </c>
      <c r="L77" t="s">
        <v>63</v>
      </c>
      <c r="N77">
        <v>51</v>
      </c>
      <c r="O77" t="str">
        <f t="shared" si="17"/>
        <v>BMW Série 5</v>
      </c>
      <c r="P77" s="18">
        <f t="shared" si="18"/>
        <v>320788</v>
      </c>
      <c r="Q77">
        <f t="shared" si="19"/>
        <v>5</v>
      </c>
      <c r="R77" s="19">
        <f t="shared" si="20"/>
        <v>5.3611902804531538E-3</v>
      </c>
      <c r="S77" t="str">
        <f t="shared" si="21"/>
        <v>BMW</v>
      </c>
    </row>
    <row r="78" spans="8:19">
      <c r="H78" t="s">
        <v>162</v>
      </c>
      <c r="I78">
        <f>SUMIFS(Base!$G$2:$G$986,Base!$F$2:$F$986,H78,Base!$K$2:$K$986,1)</f>
        <v>490694</v>
      </c>
      <c r="J78">
        <f>COUNTIFS(Base!$F$2:$F$986,H78,Base!$K$2:$K$986,1)</f>
        <v>8</v>
      </c>
      <c r="K78">
        <f t="shared" si="16"/>
        <v>490694.00007800001</v>
      </c>
      <c r="L78" t="s">
        <v>63</v>
      </c>
      <c r="N78">
        <v>52</v>
      </c>
      <c r="O78" t="str">
        <f t="shared" si="17"/>
        <v>Enzo</v>
      </c>
      <c r="P78" s="18">
        <f t="shared" si="18"/>
        <v>296525</v>
      </c>
      <c r="Q78">
        <f t="shared" si="19"/>
        <v>5</v>
      </c>
      <c r="R78" s="19">
        <f t="shared" si="20"/>
        <v>4.9556933174288668E-3</v>
      </c>
      <c r="S78" t="str">
        <f t="shared" si="21"/>
        <v>Ferrari</v>
      </c>
    </row>
    <row r="79" spans="8:19">
      <c r="H79" t="s">
        <v>179</v>
      </c>
      <c r="I79">
        <f>SUMIFS(Base!$G$2:$G$986,Base!$F$2:$F$986,H79,Base!$K$2:$K$986,1)</f>
        <v>587662.41</v>
      </c>
      <c r="J79">
        <f>COUNTIFS(Base!$F$2:$F$986,H79,Base!$K$2:$K$986,1)</f>
        <v>9</v>
      </c>
      <c r="K79">
        <f t="shared" si="16"/>
        <v>587662.41007900005</v>
      </c>
      <c r="L79" t="s">
        <v>63</v>
      </c>
      <c r="N79">
        <v>53</v>
      </c>
      <c r="O79" t="str">
        <f t="shared" si="17"/>
        <v>488</v>
      </c>
      <c r="P79" s="18">
        <f t="shared" si="18"/>
        <v>259632</v>
      </c>
      <c r="Q79">
        <f t="shared" si="19"/>
        <v>5</v>
      </c>
      <c r="R79" s="19">
        <f t="shared" si="20"/>
        <v>4.3391166592722085E-3</v>
      </c>
      <c r="S79" t="str">
        <f t="shared" si="21"/>
        <v>Ferrari</v>
      </c>
    </row>
    <row r="80" spans="8:19">
      <c r="H80" t="s">
        <v>425</v>
      </c>
      <c r="I80">
        <f>SUMIFS(Base!$G$2:$G$986,Base!$F$2:$F$986,H80,Base!$K$2:$K$986,1)</f>
        <v>857136.03</v>
      </c>
      <c r="J80">
        <f>COUNTIFS(Base!$F$2:$F$986,H80,Base!$K$2:$K$986,1)</f>
        <v>14</v>
      </c>
      <c r="K80">
        <f t="shared" si="16"/>
        <v>857136.03008000006</v>
      </c>
      <c r="L80" t="s">
        <v>63</v>
      </c>
      <c r="N80">
        <v>54</v>
      </c>
      <c r="O80" t="str">
        <f t="shared" si="17"/>
        <v>LaFerrari</v>
      </c>
      <c r="P80" s="18">
        <f t="shared" si="18"/>
        <v>114679</v>
      </c>
      <c r="Q80">
        <f t="shared" si="19"/>
        <v>2</v>
      </c>
      <c r="R80" s="19">
        <f t="shared" si="20"/>
        <v>1.9165802342110277E-3</v>
      </c>
      <c r="S80" t="str">
        <f t="shared" si="21"/>
        <v>Ferrari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14</vt:i4>
      </vt:variant>
    </vt:vector>
  </HeadingPairs>
  <TitlesOfParts>
    <vt:vector size="17" baseType="lpstr">
      <vt:lpstr>Dashboard</vt:lpstr>
      <vt:lpstr>Base</vt:lpstr>
      <vt:lpstr>Cálculos</vt:lpstr>
      <vt:lpstr>kpi_fat</vt:lpstr>
      <vt:lpstr>kpi_fat_ant</vt:lpstr>
      <vt:lpstr>kpi_qtd</vt:lpstr>
      <vt:lpstr>kpi_ticket</vt:lpstr>
      <vt:lpstr>kpi_var</vt:lpstr>
      <vt:lpstr>lista_anos</vt:lpstr>
      <vt:lpstr>lista_marcas</vt:lpstr>
      <vt:lpstr>lista_paises</vt:lpstr>
      <vt:lpstr>marca_lider</vt:lpstr>
      <vt:lpstr>modelo_lider</vt:lpstr>
      <vt:lpstr>pais_lider</vt:lpstr>
      <vt:lpstr>sel_ano</vt:lpstr>
      <vt:lpstr>sel_marca</vt:lpstr>
      <vt:lpstr>sel_pais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Breno</cp:lastModifiedBy>
  <dcterms:created xsi:type="dcterms:W3CDTF">2026-10-29T22:56:18Z</dcterms:created>
  <dcterms:modified xsi:type="dcterms:W3CDTF">2026-10-29T22:58:32Z</dcterms:modified>
</cp:coreProperties>
</file>